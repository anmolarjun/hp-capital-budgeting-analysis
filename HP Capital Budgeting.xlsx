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LENOVO\Documents\"/>
    </mc:Choice>
  </mc:AlternateContent>
  <xr:revisionPtr revIDLastSave="0" documentId="13_ncr:1_{AEC7CD05-AF7D-4B0B-869C-94E46C48B39C}" xr6:coauthVersionLast="47" xr6:coauthVersionMax="47" xr10:uidLastSave="{00000000-0000-0000-0000-000000000000}"/>
  <bookViews>
    <workbookView xWindow="-110" yWindow="-110" windowWidth="19420" windowHeight="10420" activeTab="3" xr2:uid="{0C8FEA19-AEE7-43F9-93AE-428489C62457}"/>
  </bookViews>
  <sheets>
    <sheet name="Introduction" sheetId="1" r:id="rId1"/>
    <sheet name="Assumptions" sheetId="2" r:id="rId2"/>
    <sheet name="WACC" sheetId="3" r:id="rId3"/>
    <sheet name="India" sheetId="4" r:id="rId4"/>
    <sheet name="China" sheetId="5" r:id="rId5"/>
    <sheet name="Vietnam" sheetId="6" r:id="rId6"/>
    <sheet name="Qualitative Considerations" sheetId="7" r:id="rId7"/>
    <sheet name="Conclusion" sheetId="8" r:id="rId8"/>
  </sheets>
  <definedNames>
    <definedName name="tgr">WACC!$B$10</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38" i="6" l="1"/>
  <c r="B37" i="6"/>
  <c r="B31" i="6"/>
  <c r="B30" i="6"/>
  <c r="B29" i="6"/>
  <c r="E20" i="6" s="1"/>
  <c r="F20" i="6" s="1"/>
  <c r="B38" i="5"/>
  <c r="B37" i="5"/>
  <c r="B31" i="5"/>
  <c r="J25" i="5" s="1"/>
  <c r="B30" i="5"/>
  <c r="B29" i="5"/>
  <c r="B30" i="4"/>
  <c r="B29" i="4"/>
  <c r="B31" i="4"/>
  <c r="B38" i="4"/>
  <c r="B37" i="4"/>
  <c r="E7" i="6"/>
  <c r="F7" i="6"/>
  <c r="G7" i="6"/>
  <c r="H7" i="6"/>
  <c r="I7" i="6"/>
  <c r="J7" i="6"/>
  <c r="K7" i="6"/>
  <c r="L7" i="6"/>
  <c r="M7" i="6"/>
  <c r="D7" i="6"/>
  <c r="E7" i="5"/>
  <c r="F7" i="5"/>
  <c r="G7" i="5"/>
  <c r="H7" i="5"/>
  <c r="I7" i="5"/>
  <c r="J7" i="5"/>
  <c r="K7" i="5"/>
  <c r="L7" i="5"/>
  <c r="M7" i="5"/>
  <c r="D7" i="5"/>
  <c r="B33" i="6"/>
  <c r="C6" i="6" s="1"/>
  <c r="C8" i="6" s="1"/>
  <c r="L25" i="6"/>
  <c r="D21" i="5"/>
  <c r="D21" i="6"/>
  <c r="M25" i="6"/>
  <c r="K25" i="6"/>
  <c r="I25" i="6"/>
  <c r="G25" i="6"/>
  <c r="E25" i="6"/>
  <c r="M22" i="6"/>
  <c r="K22" i="6"/>
  <c r="I22" i="6"/>
  <c r="G22" i="6"/>
  <c r="E22" i="6"/>
  <c r="B33" i="5"/>
  <c r="C6" i="5" s="1"/>
  <c r="L25" i="5"/>
  <c r="K25" i="5"/>
  <c r="H25" i="5"/>
  <c r="G25" i="5"/>
  <c r="F25" i="5"/>
  <c r="D25" i="5"/>
  <c r="M22" i="5"/>
  <c r="L22" i="5"/>
  <c r="J22" i="5"/>
  <c r="I22" i="5"/>
  <c r="H22" i="5"/>
  <c r="F22" i="5"/>
  <c r="E22" i="5"/>
  <c r="D22" i="5"/>
  <c r="E20" i="5"/>
  <c r="F20" i="5" s="1"/>
  <c r="F21" i="5" s="1"/>
  <c r="F21" i="6" l="1"/>
  <c r="M25" i="5"/>
  <c r="E21" i="5"/>
  <c r="D22" i="6"/>
  <c r="D23" i="6" s="1"/>
  <c r="D24" i="6" s="1"/>
  <c r="H22" i="6"/>
  <c r="L22" i="6"/>
  <c r="F25" i="6"/>
  <c r="J25" i="6"/>
  <c r="E21" i="6"/>
  <c r="E23" i="6" s="1"/>
  <c r="E24" i="6" s="1"/>
  <c r="F22" i="6"/>
  <c r="J22" i="6"/>
  <c r="D25" i="6"/>
  <c r="H25" i="6"/>
  <c r="G22" i="5"/>
  <c r="K22" i="5"/>
  <c r="E25" i="5"/>
  <c r="I25" i="5"/>
  <c r="E23" i="5"/>
  <c r="E24" i="5" s="1"/>
  <c r="E26" i="5" s="1"/>
  <c r="E6" i="5" s="1"/>
  <c r="E8" i="5" s="1"/>
  <c r="G20" i="6"/>
  <c r="G21" i="6" s="1"/>
  <c r="F23" i="6"/>
  <c r="F24" i="6" s="1"/>
  <c r="D23" i="5"/>
  <c r="D24" i="5" s="1"/>
  <c r="D26" i="5" s="1"/>
  <c r="D6" i="5" s="1"/>
  <c r="F23" i="5"/>
  <c r="G20" i="5"/>
  <c r="G21" i="5" s="1"/>
  <c r="C8" i="5"/>
  <c r="E26" i="6" l="1"/>
  <c r="E6" i="6" s="1"/>
  <c r="E8" i="6" s="1"/>
  <c r="D26" i="6"/>
  <c r="D6" i="6" s="1"/>
  <c r="D8" i="6"/>
  <c r="F26" i="6"/>
  <c r="F6" i="6" s="1"/>
  <c r="G23" i="6"/>
  <c r="G24" i="6" s="1"/>
  <c r="H20" i="6"/>
  <c r="H21" i="6" s="1"/>
  <c r="F24" i="5"/>
  <c r="F26" i="5" s="1"/>
  <c r="F6" i="5" s="1"/>
  <c r="D8" i="5"/>
  <c r="G23" i="5"/>
  <c r="H20" i="5"/>
  <c r="H21" i="5" s="1"/>
  <c r="G26" i="6" l="1"/>
  <c r="G6" i="6" s="1"/>
  <c r="G8" i="6" s="1"/>
  <c r="F8" i="6"/>
  <c r="H23" i="6"/>
  <c r="H24" i="6" s="1"/>
  <c r="I20" i="6"/>
  <c r="I21" i="6" s="1"/>
  <c r="F8" i="5"/>
  <c r="G24" i="5"/>
  <c r="G26" i="5" s="1"/>
  <c r="G6" i="5" s="1"/>
  <c r="H23" i="5"/>
  <c r="I20" i="5"/>
  <c r="I21" i="5" s="1"/>
  <c r="H26" i="6" l="1"/>
  <c r="H6" i="6" s="1"/>
  <c r="J20" i="6"/>
  <c r="J21" i="6" s="1"/>
  <c r="I23" i="6"/>
  <c r="I24" i="6" s="1"/>
  <c r="G8" i="5"/>
  <c r="H24" i="5"/>
  <c r="H26" i="5" s="1"/>
  <c r="H6" i="5" s="1"/>
  <c r="H8" i="5" s="1"/>
  <c r="J20" i="5"/>
  <c r="J21" i="5" s="1"/>
  <c r="I23" i="5"/>
  <c r="H8" i="6" l="1"/>
  <c r="I26" i="6"/>
  <c r="I6" i="6" s="1"/>
  <c r="K20" i="6"/>
  <c r="K21" i="6" s="1"/>
  <c r="J23" i="6"/>
  <c r="J24" i="6" s="1"/>
  <c r="I24" i="5"/>
  <c r="I26" i="5" s="1"/>
  <c r="I6" i="5" s="1"/>
  <c r="I8" i="5" s="1"/>
  <c r="J23" i="5"/>
  <c r="K20" i="5"/>
  <c r="K21" i="5" s="1"/>
  <c r="J26" i="6" l="1"/>
  <c r="J6" i="6" s="1"/>
  <c r="J8" i="6" s="1"/>
  <c r="I8" i="6"/>
  <c r="K23" i="6"/>
  <c r="K24" i="6" s="1"/>
  <c r="L20" i="6"/>
  <c r="L21" i="6" s="1"/>
  <c r="J24" i="5"/>
  <c r="J26" i="5" s="1"/>
  <c r="J6" i="5" s="1"/>
  <c r="J8" i="5" s="1"/>
  <c r="K23" i="5"/>
  <c r="L20" i="5"/>
  <c r="L21" i="5" s="1"/>
  <c r="K26" i="6" l="1"/>
  <c r="K6" i="6" s="1"/>
  <c r="K8" i="6" s="1"/>
  <c r="L23" i="6"/>
  <c r="L24" i="6" s="1"/>
  <c r="M20" i="6"/>
  <c r="M21" i="6" s="1"/>
  <c r="K24" i="5"/>
  <c r="K26" i="5" s="1"/>
  <c r="K6" i="5" s="1"/>
  <c r="K8" i="5" s="1"/>
  <c r="L23" i="5"/>
  <c r="M20" i="5"/>
  <c r="M21" i="5" s="1"/>
  <c r="L26" i="6" l="1"/>
  <c r="L6" i="6" s="1"/>
  <c r="L8" i="6" s="1"/>
  <c r="M23" i="6"/>
  <c r="M24" i="6" s="1"/>
  <c r="L24" i="5"/>
  <c r="L26" i="5" s="1"/>
  <c r="L6" i="5" s="1"/>
  <c r="L8" i="5" s="1"/>
  <c r="M23" i="5"/>
  <c r="M26" i="6" l="1"/>
  <c r="B36" i="6" s="1"/>
  <c r="B39" i="6" s="1"/>
  <c r="M6" i="6" s="1"/>
  <c r="M24" i="5"/>
  <c r="M26" i="5" s="1"/>
  <c r="B36" i="5" s="1"/>
  <c r="B39" i="5" s="1"/>
  <c r="M6" i="5" s="1"/>
  <c r="M8" i="6" l="1"/>
  <c r="B10" i="6" s="1"/>
  <c r="B12" i="6"/>
  <c r="M8" i="5"/>
  <c r="B10" i="5" s="1"/>
  <c r="B12" i="5"/>
  <c r="E7" i="4" l="1"/>
  <c r="F7" i="4"/>
  <c r="G7" i="4"/>
  <c r="H7" i="4"/>
  <c r="I7" i="4"/>
  <c r="J7" i="4"/>
  <c r="K7" i="4"/>
  <c r="L7" i="4"/>
  <c r="M7" i="4"/>
  <c r="D7" i="4"/>
  <c r="B20" i="3"/>
  <c r="B21" i="3" s="1"/>
  <c r="B13" i="3"/>
  <c r="B23" i="3" l="1"/>
  <c r="B33" i="4" l="1"/>
  <c r="C6" i="4" s="1"/>
  <c r="E20" i="4"/>
  <c r="F20" i="4" s="1"/>
  <c r="D21" i="4"/>
  <c r="E22" i="4"/>
  <c r="C8" i="4" l="1"/>
  <c r="E25" i="4"/>
  <c r="I25" i="4"/>
  <c r="L25" i="4"/>
  <c r="H25" i="4"/>
  <c r="D25" i="4"/>
  <c r="J25" i="4"/>
  <c r="F25" i="4"/>
  <c r="M25" i="4"/>
  <c r="K25" i="4"/>
  <c r="G25" i="4"/>
  <c r="F21" i="4"/>
  <c r="G20" i="4"/>
  <c r="E21" i="4"/>
  <c r="E23" i="4" s="1"/>
  <c r="E24" i="4" s="1"/>
  <c r="E26" i="4" s="1"/>
  <c r="E6" i="4" s="1"/>
  <c r="E8" i="4" s="1"/>
  <c r="L22" i="4"/>
  <c r="H22" i="4"/>
  <c r="K22" i="4"/>
  <c r="G22" i="4"/>
  <c r="D22" i="4"/>
  <c r="D23" i="4" s="1"/>
  <c r="J22" i="4"/>
  <c r="F22" i="4"/>
  <c r="M22" i="4"/>
  <c r="I22" i="4"/>
  <c r="D24" i="4" l="1"/>
  <c r="D26" i="4" s="1"/>
  <c r="D6" i="4" s="1"/>
  <c r="F23" i="4"/>
  <c r="F24" i="4" s="1"/>
  <c r="G21" i="4"/>
  <c r="G23" i="4" s="1"/>
  <c r="G24" i="4" s="1"/>
  <c r="G26" i="4" s="1"/>
  <c r="G6" i="4" s="1"/>
  <c r="G8" i="4" s="1"/>
  <c r="H20" i="4"/>
  <c r="D8" i="4" l="1"/>
  <c r="F26" i="4"/>
  <c r="F6" i="4" s="1"/>
  <c r="F8" i="4" s="1"/>
  <c r="H21" i="4"/>
  <c r="H23" i="4" s="1"/>
  <c r="I20" i="4"/>
  <c r="H24" i="4" l="1"/>
  <c r="H26" i="4" s="1"/>
  <c r="H6" i="4" s="1"/>
  <c r="H8" i="4" s="1"/>
  <c r="J20" i="4"/>
  <c r="I21" i="4"/>
  <c r="I23" i="4" s="1"/>
  <c r="I24" i="4" s="1"/>
  <c r="I26" i="4" s="1"/>
  <c r="I6" i="4" s="1"/>
  <c r="I8" i="4" s="1"/>
  <c r="J21" i="4" l="1"/>
  <c r="J23" i="4" s="1"/>
  <c r="K20" i="4"/>
  <c r="J24" i="4" l="1"/>
  <c r="J26" i="4" s="1"/>
  <c r="J6" i="4" s="1"/>
  <c r="K21" i="4"/>
  <c r="K23" i="4" s="1"/>
  <c r="K24" i="4" s="1"/>
  <c r="K26" i="4" s="1"/>
  <c r="K6" i="4" s="1"/>
  <c r="K8" i="4" s="1"/>
  <c r="L20" i="4"/>
  <c r="J8" i="4" l="1"/>
  <c r="L21" i="4"/>
  <c r="L23" i="4" s="1"/>
  <c r="L24" i="4" s="1"/>
  <c r="L26" i="4" s="1"/>
  <c r="L6" i="4" s="1"/>
  <c r="M20" i="4"/>
  <c r="M21" i="4" s="1"/>
  <c r="M23" i="4" s="1"/>
  <c r="M24" i="4" s="1"/>
  <c r="M26" i="4" s="1"/>
  <c r="B36" i="4" s="1"/>
  <c r="B39" i="4" s="1"/>
  <c r="M6" i="4" s="1"/>
  <c r="M8" i="4" s="1"/>
  <c r="L8" i="4" l="1"/>
  <c r="B10" i="4" s="1"/>
  <c r="B12" i="4"/>
</calcChain>
</file>

<file path=xl/sharedStrings.xml><?xml version="1.0" encoding="utf-8"?>
<sst xmlns="http://schemas.openxmlformats.org/spreadsheetml/2006/main" count="116" uniqueCount="63">
  <si>
    <t>Introduction</t>
  </si>
  <si>
    <t>Assumptions</t>
  </si>
  <si>
    <t>Assumption</t>
  </si>
  <si>
    <t>India</t>
  </si>
  <si>
    <t>China</t>
  </si>
  <si>
    <t>Vietnam</t>
  </si>
  <si>
    <t>Project Life (Years)</t>
  </si>
  <si>
    <t>Initial Investment ($ Million)</t>
  </si>
  <si>
    <t>Revenue Year 1 ($ Million)</t>
  </si>
  <si>
    <t>Revenue Growth Rate</t>
  </si>
  <si>
    <t>Operating Cost (% of Revenue)</t>
  </si>
  <si>
    <t>Tax Rate</t>
  </si>
  <si>
    <t>Depreciation Life (Years)</t>
  </si>
  <si>
    <t>Salvage Value ($ Million)</t>
  </si>
  <si>
    <t xml:space="preserve">Working Capital </t>
  </si>
  <si>
    <t>Period</t>
  </si>
  <si>
    <t>NPV</t>
  </si>
  <si>
    <t>IRR</t>
  </si>
  <si>
    <t>Payback Period</t>
  </si>
  <si>
    <t>Cash Inflow/Outflow</t>
  </si>
  <si>
    <t>Revenue</t>
  </si>
  <si>
    <t>Less depreciation</t>
  </si>
  <si>
    <t>Less Operating costs</t>
  </si>
  <si>
    <t>Less taxes 25%</t>
  </si>
  <si>
    <t>Add depreciation</t>
  </si>
  <si>
    <t>After tax Cashflows</t>
  </si>
  <si>
    <t>Revenue Growth</t>
  </si>
  <si>
    <t>Operating Cost Growth</t>
  </si>
  <si>
    <t>depreciation yearly</t>
  </si>
  <si>
    <t>Cash Flow before taxes</t>
  </si>
  <si>
    <t>year 0 outflow</t>
  </si>
  <si>
    <t>year 10 inflows :</t>
  </si>
  <si>
    <t>After tax cashflow year 10</t>
  </si>
  <si>
    <t>After tax salvage value</t>
  </si>
  <si>
    <t>Recovery of WC</t>
  </si>
  <si>
    <t>Total CF</t>
  </si>
  <si>
    <t>WACC</t>
  </si>
  <si>
    <t>Formula =</t>
  </si>
  <si>
    <t>Ke*Equity/(debt + equity) + Kdat*Debt/(debt + equity)</t>
  </si>
  <si>
    <t xml:space="preserve">Ke           =  </t>
  </si>
  <si>
    <t>Cost of equity</t>
  </si>
  <si>
    <t>Rf + Beta (Rm - Rf)</t>
  </si>
  <si>
    <t>Rf</t>
  </si>
  <si>
    <t>10 yr treas yield - google</t>
  </si>
  <si>
    <t>Beta</t>
  </si>
  <si>
    <t>MRP</t>
  </si>
  <si>
    <t>Ke</t>
  </si>
  <si>
    <t>kdat       =</t>
  </si>
  <si>
    <t>cost of debt after tax</t>
  </si>
  <si>
    <t>Yahoo finance</t>
  </si>
  <si>
    <t>debt</t>
  </si>
  <si>
    <t>equity %</t>
  </si>
  <si>
    <t>debt %</t>
  </si>
  <si>
    <t>Yahoo Finance</t>
  </si>
  <si>
    <t xml:space="preserve">equity </t>
  </si>
  <si>
    <t>PV factor</t>
  </si>
  <si>
    <t>PV of Cash flows</t>
  </si>
  <si>
    <r>
      <t xml:space="preserve">5.56 </t>
    </r>
    <r>
      <rPr>
        <b/>
        <i/>
        <sz val="11"/>
        <color theme="1"/>
        <rFont val="Calibri"/>
        <family val="2"/>
        <scheme val="minor"/>
      </rPr>
      <t>Years</t>
    </r>
  </si>
  <si>
    <r>
      <t xml:space="preserve">6.47 </t>
    </r>
    <r>
      <rPr>
        <b/>
        <i/>
        <sz val="11"/>
        <color theme="1"/>
        <rFont val="Calibri"/>
        <family val="2"/>
        <scheme val="minor"/>
      </rPr>
      <t>Years</t>
    </r>
  </si>
  <si>
    <t>Less taxes 20%</t>
  </si>
  <si>
    <r>
      <t xml:space="preserve">4.92 </t>
    </r>
    <r>
      <rPr>
        <b/>
        <i/>
        <sz val="11"/>
        <color theme="1"/>
        <rFont val="Calibri"/>
        <family val="2"/>
        <scheme val="minor"/>
      </rPr>
      <t>Years</t>
    </r>
  </si>
  <si>
    <t>Qualitative Considerations</t>
  </si>
  <si>
    <t>Conclusion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</si>
</sst>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Calibri"/>
      <family val="2"/>
      <scheme val="minor"/>
    </font>
    <font>
      <b/>
      <sz val="11"/>
      <color theme="1"/>
      <name val="Calibri"/>
      <family val="2"/>
      <scheme val="minor"/>
    </font>
    <font>
      <sz val="11"/>
      <color theme="0"/>
      <name val="Calibri"/>
      <family val="2"/>
      <scheme val="minor"/>
    </font>
    <font>
      <sz val="18"/>
      <color theme="0"/>
      <name val="Calibri"/>
      <family val="2"/>
      <scheme val="minor"/>
    </font>
    <font>
      <b/>
      <i/>
      <sz val="11"/>
      <color theme="1"/>
      <name val="Calibri"/>
      <family val="2"/>
      <scheme val="minor"/>
    </font>
    <font>
      <i/>
      <sz val="11"/>
      <color theme="1"/>
      <name val="Calibri"/>
      <family val="2"/>
      <scheme val="minor"/>
    </font>
    <font>
      <b/>
      <sz val="18"/>
      <color theme="0"/>
      <name val="Calibri"/>
      <family val="2"/>
      <scheme val="minor"/>
    </font>
    <font>
      <sz val="18"/>
      <color theme="1"/>
      <name val="Calibri"/>
      <family val="2"/>
      <scheme val="minor"/>
    </font>
    <font>
      <sz val="22"/>
      <color theme="0"/>
      <name val="Calibri"/>
      <family val="2"/>
      <scheme val="minor"/>
    </font>
  </fonts>
  <fills count="3">
    <fill>
      <patternFill patternType="none"/>
    </fill>
    <fill>
      <patternFill patternType="gray125"/>
    </fill>
    <fill>
      <patternFill patternType="solid">
        <fgColor theme="4" tint="-0.499984740745262"/>
        <bgColor indexed="64"/>
      </patternFill>
    </fill>
  </fills>
  <borders count="2">
    <border>
      <left/>
      <right/>
      <top/>
      <bottom/>
      <diagonal/>
    </border>
    <border>
      <left/>
      <right/>
      <top/>
      <bottom style="medium">
        <color auto="1"/>
      </bottom>
      <diagonal/>
    </border>
  </borders>
  <cellStyleXfs count="1">
    <xf numFmtId="0" fontId="0" fillId="0" borderId="0"/>
  </cellStyleXfs>
  <cellXfs count="28">
    <xf numFmtId="0" fontId="0" fillId="0" borderId="0" xfId="0"/>
    <xf numFmtId="0" fontId="0" fillId="2" borderId="0" xfId="0" applyFill="1"/>
    <xf numFmtId="0" fontId="2" fillId="2" borderId="0" xfId="0" applyFont="1" applyFill="1"/>
    <xf numFmtId="0" fontId="1" fillId="0" borderId="0" xfId="0" applyFont="1" applyAlignment="1">
      <alignment horizontal="center" vertical="center" wrapText="1"/>
    </xf>
    <xf numFmtId="0" fontId="0" fillId="0" borderId="0" xfId="0" applyAlignment="1">
      <alignment vertical="center" wrapText="1"/>
    </xf>
    <xf numFmtId="9" fontId="0" fillId="0" borderId="0" xfId="0" applyNumberFormat="1"/>
    <xf numFmtId="9" fontId="0" fillId="0" borderId="0" xfId="0" applyNumberFormat="1" applyAlignment="1">
      <alignment vertical="center" wrapText="1"/>
    </xf>
    <xf numFmtId="0" fontId="0" fillId="0" borderId="1" xfId="0" applyBorder="1"/>
    <xf numFmtId="2" fontId="0" fillId="0" borderId="0" xfId="0" applyNumberFormat="1"/>
    <xf numFmtId="0" fontId="4" fillId="0" borderId="0" xfId="0" applyFont="1"/>
    <xf numFmtId="0" fontId="5" fillId="0" borderId="0" xfId="0" applyFont="1"/>
    <xf numFmtId="10" fontId="0" fillId="0" borderId="0" xfId="0" applyNumberFormat="1"/>
    <xf numFmtId="164" fontId="0" fillId="0" borderId="0" xfId="0" applyNumberFormat="1"/>
    <xf numFmtId="0" fontId="1" fillId="0" borderId="0" xfId="0" applyFont="1"/>
    <xf numFmtId="2" fontId="1" fillId="0" borderId="0" xfId="0" applyNumberFormat="1" applyFont="1"/>
    <xf numFmtId="9" fontId="1" fillId="0" borderId="0" xfId="0" applyNumberFormat="1" applyFont="1"/>
    <xf numFmtId="164" fontId="0" fillId="0" borderId="0" xfId="0" applyNumberFormat="1" applyAlignment="1">
      <alignment vertical="center" wrapText="1"/>
    </xf>
    <xf numFmtId="0" fontId="1" fillId="0" borderId="0" xfId="0" applyFont="1" applyAlignment="1">
      <alignment horizontal="center"/>
    </xf>
    <xf numFmtId="0" fontId="3" fillId="0" borderId="0" xfId="0" applyFont="1" applyAlignment="1">
      <alignment horizontal="left"/>
    </xf>
    <xf numFmtId="0" fontId="3" fillId="2" borderId="0" xfId="0" applyFont="1" applyFill="1" applyAlignment="1">
      <alignment horizontal="left"/>
    </xf>
    <xf numFmtId="0" fontId="2" fillId="2" borderId="0" xfId="0" applyFont="1" applyFill="1" applyAlignment="1">
      <alignment horizontal="left"/>
    </xf>
    <xf numFmtId="0" fontId="5" fillId="0" borderId="0" xfId="0" applyFont="1" applyAlignment="1">
      <alignment horizontal="left"/>
    </xf>
    <xf numFmtId="0" fontId="0" fillId="2" borderId="0" xfId="0" applyFill="1"/>
    <xf numFmtId="0" fontId="6" fillId="2" borderId="0" xfId="0" applyFont="1" applyFill="1"/>
    <xf numFmtId="0" fontId="7" fillId="2" borderId="0" xfId="0" applyFont="1" applyFill="1"/>
    <xf numFmtId="0" fontId="0" fillId="0" borderId="0" xfId="0" applyAlignment="1">
      <alignment horizontal="center"/>
    </xf>
    <xf numFmtId="0" fontId="8" fillId="2" borderId="0" xfId="0" applyFont="1" applyFill="1" applyAlignment="1">
      <alignment horizontal="left"/>
    </xf>
    <xf numFmtId="0" fontId="0" fillId="2" borderId="0" xfId="0" applyFill="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0</xdr:colOff>
      <xdr:row>3</xdr:row>
      <xdr:rowOff>6350</xdr:rowOff>
    </xdr:from>
    <xdr:to>
      <xdr:col>19</xdr:col>
      <xdr:colOff>6350</xdr:colOff>
      <xdr:row>41</xdr:row>
      <xdr:rowOff>88900</xdr:rowOff>
    </xdr:to>
    <xdr:sp macro="" textlink="">
      <xdr:nvSpPr>
        <xdr:cNvPr id="2" name="TextBox 1">
          <a:extLst>
            <a:ext uri="{FF2B5EF4-FFF2-40B4-BE49-F238E27FC236}">
              <a16:creationId xmlns:a16="http://schemas.microsoft.com/office/drawing/2014/main" id="{CD2653A2-0C55-2562-4A08-98108784D828}"/>
            </a:ext>
          </a:extLst>
        </xdr:cNvPr>
        <xdr:cNvSpPr txBox="1"/>
      </xdr:nvSpPr>
      <xdr:spPr>
        <a:xfrm>
          <a:off x="0" y="558800"/>
          <a:ext cx="11588750" cy="7080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CAPITAL BUDGETING ANALYSIS USING NPV AND IRR</a:t>
          </a:r>
        </a:p>
        <a:p>
          <a:endParaRPr lang="en-US"/>
        </a:p>
        <a:p>
          <a:r>
            <a:rPr lang="en-US"/>
            <a:t>Evaluation of Mutually Exclusive Manufacturing Plant Investment Alternatives for HP Inc.</a:t>
          </a:r>
        </a:p>
        <a:p>
          <a:endParaRPr lang="en-US"/>
        </a:p>
        <a:p>
          <a:r>
            <a:rPr lang="en-US"/>
            <a:t>Prepared By: Anmol Arjun Panwar</a:t>
          </a:r>
        </a:p>
        <a:p>
          <a:r>
            <a:rPr lang="en-US"/>
            <a:t>Date: 17/6/2026</a:t>
          </a:r>
        </a:p>
        <a:p>
          <a:br>
            <a:rPr lang="en-US"/>
          </a:br>
          <a:r>
            <a:rPr lang="en-US" sz="1200"/>
            <a:t>INTRODUCTION</a:t>
          </a:r>
        </a:p>
        <a:p>
          <a:r>
            <a:rPr lang="en-US"/>
            <a:t>HP Inc. is a leading global technology company engaged in the manufacturing and sale of personal computers, printers, and related products. To support future growth and strengthen its global supply chain, the company is considering establishing a new manufacturing facility.</a:t>
          </a:r>
        </a:p>
        <a:p>
          <a:r>
            <a:rPr lang="en-US"/>
            <a:t>This project evaluates three mutually exclusive investment alternatives: setting up the manufacturing plant in India, China, or Vietnam. Using capital budgeting techniques such as Net Present Value (NPV) and Internal Rate of Return (IRR), the project aims to identify the location that provides the highest financial return and maximizes shareholder value.</a:t>
          </a:r>
        </a:p>
        <a:p>
          <a:br>
            <a:rPr lang="en-US"/>
          </a:br>
          <a:endParaRPr lang="en-US"/>
        </a:p>
        <a:p>
          <a:r>
            <a:rPr lang="en-US" sz="1200"/>
            <a:t>PROJECT OBJECTIVE</a:t>
          </a:r>
        </a:p>
        <a:p>
          <a:r>
            <a:rPr lang="en-US"/>
            <a:t>• Evaluate the financial viability of each investment alternative.</a:t>
          </a:r>
          <a:br>
            <a:rPr lang="en-US"/>
          </a:br>
          <a:r>
            <a:rPr lang="en-US"/>
            <a:t>• Calculate the NPV and IRR of each project.</a:t>
          </a:r>
          <a:br>
            <a:rPr lang="en-US"/>
          </a:br>
          <a:r>
            <a:rPr lang="en-US"/>
            <a:t>• Compare the investment opportunities on a risk-return basis.</a:t>
          </a:r>
          <a:br>
            <a:rPr lang="en-US"/>
          </a:br>
          <a:r>
            <a:rPr lang="en-US"/>
            <a:t>• Recommend the most financially attractive location for the new manufacturing plant.</a:t>
          </a:r>
        </a:p>
        <a:p>
          <a:br>
            <a:rPr lang="en-US"/>
          </a:br>
          <a:endParaRPr lang="en-US"/>
        </a:p>
        <a:p>
          <a:r>
            <a:rPr lang="en-US" sz="1200"/>
            <a:t>COUNTRIES UNDER CONSIDERATION</a:t>
          </a:r>
        </a:p>
        <a:p>
          <a:r>
            <a:rPr lang="en-US" b="1"/>
            <a:t>India</a:t>
          </a:r>
        </a:p>
        <a:p>
          <a:r>
            <a:rPr lang="en-US" b="1"/>
            <a:t>China</a:t>
          </a:r>
        </a:p>
        <a:p>
          <a:r>
            <a:rPr lang="en-US" b="1"/>
            <a:t>Vietnam</a:t>
          </a:r>
        </a:p>
        <a:p>
          <a:br>
            <a:rPr lang="en-US"/>
          </a:br>
          <a:endParaRPr lang="en-US"/>
        </a:p>
        <a:p>
          <a:r>
            <a:rPr lang="en-US" sz="1200"/>
            <a:t>CAPITAL BUDGETING TECHNIQUES USED</a:t>
          </a:r>
        </a:p>
        <a:p>
          <a:r>
            <a:rPr lang="en-US" i="1"/>
            <a:t>• Net Present Value (NPV)</a:t>
          </a:r>
          <a:br>
            <a:rPr lang="en-US" i="1"/>
          </a:br>
          <a:r>
            <a:rPr lang="en-US" i="1"/>
            <a:t>• Internal Rate of Return (IRR)</a:t>
          </a:r>
          <a:br>
            <a:rPr lang="en-US" i="1"/>
          </a:br>
          <a:r>
            <a:rPr lang="en-US" i="1"/>
            <a:t>• Payback Period</a:t>
          </a:r>
          <a:br>
            <a:rPr lang="en-US" i="1"/>
          </a:br>
          <a:endParaRPr lang="en-US"/>
        </a:p>
        <a:p>
          <a:r>
            <a:rPr lang="en-US" sz="1200"/>
            <a:t>FINAL DECISION CRITERION</a:t>
          </a:r>
        </a:p>
        <a:p>
          <a:r>
            <a:rPr lang="en-US"/>
            <a:t>The project with the highest positive NPV will be recommended as the preferred investment alternative, subject to acceptable risk and operational considerations.</a:t>
          </a: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6350</xdr:colOff>
      <xdr:row>2</xdr:row>
      <xdr:rowOff>177800</xdr:rowOff>
    </xdr:from>
    <xdr:to>
      <xdr:col>15</xdr:col>
      <xdr:colOff>596900</xdr:colOff>
      <xdr:row>21</xdr:row>
      <xdr:rowOff>31750</xdr:rowOff>
    </xdr:to>
    <xdr:sp macro="" textlink="">
      <xdr:nvSpPr>
        <xdr:cNvPr id="2" name="TextBox 1">
          <a:extLst>
            <a:ext uri="{FF2B5EF4-FFF2-40B4-BE49-F238E27FC236}">
              <a16:creationId xmlns:a16="http://schemas.microsoft.com/office/drawing/2014/main" id="{4FC68016-7A28-D0B9-5F99-B831D2A4E7DD}"/>
            </a:ext>
          </a:extLst>
        </xdr:cNvPr>
        <xdr:cNvSpPr txBox="1"/>
      </xdr:nvSpPr>
      <xdr:spPr>
        <a:xfrm>
          <a:off x="6350" y="546100"/>
          <a:ext cx="9734550" cy="3352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b="1"/>
        </a:p>
        <a:p>
          <a:r>
            <a:rPr lang="en-US" sz="1200" b="1"/>
            <a:t>Political and Regulatory Environment</a:t>
          </a:r>
          <a:r>
            <a:rPr lang="en-US" sz="1200"/>
            <a:t> The stability of government policies, tax regulations, labor laws, and trade restrictions can significantly affect project success. A stable regulatory environment reduces business risk. </a:t>
          </a:r>
        </a:p>
        <a:p>
          <a:endParaRPr lang="en-US" b="1"/>
        </a:p>
        <a:p>
          <a:r>
            <a:rPr lang="en-US" sz="1200" b="1"/>
            <a:t>Availability and Quality of Labor</a:t>
          </a:r>
          <a:r>
            <a:rPr lang="en-US" sz="1200"/>
            <a:t> Access to a skilled workforce at competitive labor costs is crucial for efficient operations and long-term productivity. </a:t>
          </a:r>
        </a:p>
        <a:p>
          <a:endParaRPr lang="en-US" sz="1200" b="1"/>
        </a:p>
        <a:p>
          <a:r>
            <a:rPr lang="en-US" sz="1200" b="1"/>
            <a:t>Infrastructure and Logistics</a:t>
          </a:r>
          <a:r>
            <a:rPr lang="en-US" sz="1200"/>
            <a:t> The quality of transportation networks, ports, utilities, and communication systems influences production efficiency and supply chain performance. </a:t>
          </a:r>
        </a:p>
        <a:p>
          <a:endParaRPr lang="en-US" sz="1200" b="1"/>
        </a:p>
        <a:p>
          <a:r>
            <a:rPr lang="en-US" sz="1200" b="1"/>
            <a:t>Strategic Fit with Company Objectives</a:t>
          </a:r>
          <a:r>
            <a:rPr lang="en-US" sz="1200"/>
            <a:t> The project should align with the company's long-term strategy, market expansion plans, and operational goals. </a:t>
          </a:r>
        </a:p>
        <a:p>
          <a:endParaRPr lang="en-US" sz="1200" b="1"/>
        </a:p>
        <a:p>
          <a:r>
            <a:rPr lang="en-US" sz="1200" b="1"/>
            <a:t>Environmental and Social Considerations</a:t>
          </a:r>
          <a:r>
            <a:rPr lang="en-US" sz="1200"/>
            <a:t> Environmental regulations, sustainability requirements, and the project's impact on local communities can affect the company's reputation and future operating flexibility.</a:t>
          </a:r>
        </a:p>
        <a:p>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19050</xdr:colOff>
      <xdr:row>3</xdr:row>
      <xdr:rowOff>0</xdr:rowOff>
    </xdr:from>
    <xdr:to>
      <xdr:col>15</xdr:col>
      <xdr:colOff>603250</xdr:colOff>
      <xdr:row>23</xdr:row>
      <xdr:rowOff>6350</xdr:rowOff>
    </xdr:to>
    <xdr:sp macro="" textlink="">
      <xdr:nvSpPr>
        <xdr:cNvPr id="2" name="TextBox 1">
          <a:extLst>
            <a:ext uri="{FF2B5EF4-FFF2-40B4-BE49-F238E27FC236}">
              <a16:creationId xmlns:a16="http://schemas.microsoft.com/office/drawing/2014/main" id="{42A4BD85-4020-1FE1-8B4C-BA197139059D}"/>
            </a:ext>
          </a:extLst>
        </xdr:cNvPr>
        <xdr:cNvSpPr txBox="1"/>
      </xdr:nvSpPr>
      <xdr:spPr>
        <a:xfrm>
          <a:off x="19050" y="552450"/>
          <a:ext cx="9728200" cy="3689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Conclusion</a:t>
          </a:r>
        </a:p>
        <a:p>
          <a:r>
            <a:rPr lang="en-US" sz="1200"/>
            <a:t>This capital budgeting analysis evaluated the feasibility of establishing a new HP manufacturing facility in India, China, and Vietnam using Net Present Value (NPV), Internal Rate of Return (IRR), and Payback Period techniques.</a:t>
          </a:r>
        </a:p>
        <a:p>
          <a:r>
            <a:rPr lang="en-US" sz="1200"/>
            <a:t>The results indicate that all three projects are financially viable, as each generates a positive NPV and an IRR that exceeds the respective cost of capital. However, significant differences exist in the value created by each alternative.</a:t>
          </a:r>
        </a:p>
        <a:p>
          <a:endParaRPr lang="en-US" sz="1200"/>
        </a:p>
        <a:p>
          <a:r>
            <a:rPr lang="en-US" sz="1200" b="1" i="1"/>
            <a:t>Vietnam</a:t>
          </a:r>
          <a:r>
            <a:rPr lang="en-US" sz="1200"/>
            <a:t> emerged as the most attractive investment option, generating the </a:t>
          </a:r>
          <a:r>
            <a:rPr lang="en-US" sz="1200" u="sng"/>
            <a:t>highest NPV of $174.3 million, the highest IRR of 18%, and the shortest payback period of 4.92 years.</a:t>
          </a:r>
          <a:r>
            <a:rPr lang="en-US" sz="1200"/>
            <a:t> These results suggest that Vietnam would create the greatest shareholder value while allowing HP to recover its investment more quickly than the other alternatives.</a:t>
          </a:r>
        </a:p>
        <a:p>
          <a:endParaRPr lang="en-US" sz="1200"/>
        </a:p>
        <a:p>
          <a:r>
            <a:rPr lang="en-US" sz="1200" b="1" i="1"/>
            <a:t>India</a:t>
          </a:r>
          <a:r>
            <a:rPr lang="en-US" sz="1200"/>
            <a:t> ranked second, with </a:t>
          </a:r>
          <a:r>
            <a:rPr lang="en-US" sz="1200" u="sng"/>
            <a:t>an NPV of $101.46 million, an IRR of 13%, and a payback period of 5.56 years</a:t>
          </a:r>
          <a:r>
            <a:rPr lang="en-US" sz="1200"/>
            <a:t>. While financially attractive, its performance is lower than that of Vietnam.</a:t>
          </a:r>
        </a:p>
        <a:p>
          <a:endParaRPr lang="en-US" sz="1200"/>
        </a:p>
        <a:p>
          <a:r>
            <a:rPr lang="en-US" sz="1200" b="1" i="1"/>
            <a:t>China</a:t>
          </a:r>
          <a:r>
            <a:rPr lang="en-US" sz="1200"/>
            <a:t> produced the </a:t>
          </a:r>
          <a:r>
            <a:rPr lang="en-US" sz="1200" u="sng"/>
            <a:t>lowest NPV of $58.92 million, an IRR of 13%, and the longest payback period of 6.47 years</a:t>
          </a:r>
          <a:r>
            <a:rPr lang="en-US" sz="1200"/>
            <a:t>, making it the least attractive option among the three countries.</a:t>
          </a:r>
        </a:p>
        <a:p>
          <a:endParaRPr lang="en-US" sz="1200"/>
        </a:p>
        <a:p>
          <a:r>
            <a:rPr lang="en-US" sz="1200"/>
            <a:t>Based on both quantitative and qualitative considerations, Vietnam is recommended as the preferred location for HP's new manufacturing facility. Its superior financial performance, combined with favorable growth prospects and operational advantages, makes it the most suitable investment alternative for maximizing long-term value creation.</a:t>
          </a:r>
        </a:p>
        <a:p>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57A09-5E5A-49FE-A689-BE307B231A2D}">
  <dimension ref="A1:T3"/>
  <sheetViews>
    <sheetView workbookViewId="0">
      <selection activeCell="K45" sqref="K45"/>
    </sheetView>
  </sheetViews>
  <sheetFormatPr defaultRowHeight="14.5" x14ac:dyDescent="0.35"/>
  <sheetData>
    <row r="1" spans="1:20" s="2" customFormat="1" x14ac:dyDescent="0.35">
      <c r="A1" s="19" t="s">
        <v>0</v>
      </c>
      <c r="B1" s="20"/>
      <c r="C1" s="20"/>
      <c r="D1" s="20"/>
      <c r="E1" s="20"/>
      <c r="F1" s="20"/>
      <c r="G1" s="20"/>
      <c r="H1" s="20"/>
      <c r="I1" s="20"/>
      <c r="J1" s="20"/>
      <c r="K1" s="20"/>
      <c r="L1" s="20"/>
      <c r="M1" s="20"/>
      <c r="N1" s="20"/>
      <c r="O1" s="20"/>
      <c r="P1" s="20"/>
      <c r="Q1" s="20"/>
      <c r="R1" s="20"/>
      <c r="S1" s="20"/>
      <c r="T1" s="20"/>
    </row>
    <row r="2" spans="1:20" s="2" customFormat="1" x14ac:dyDescent="0.35">
      <c r="A2" s="20"/>
      <c r="B2" s="20"/>
      <c r="C2" s="20"/>
      <c r="D2" s="20"/>
      <c r="E2" s="20"/>
      <c r="F2" s="20"/>
      <c r="G2" s="20"/>
      <c r="H2" s="20"/>
      <c r="I2" s="20"/>
      <c r="J2" s="20"/>
      <c r="K2" s="20"/>
      <c r="L2" s="20"/>
      <c r="M2" s="20"/>
      <c r="N2" s="20"/>
      <c r="O2" s="20"/>
      <c r="P2" s="20"/>
      <c r="Q2" s="20"/>
      <c r="R2" s="20"/>
      <c r="S2" s="20"/>
      <c r="T2" s="20"/>
    </row>
    <row r="3" spans="1:20" s="2" customFormat="1" x14ac:dyDescent="0.35">
      <c r="A3" s="20"/>
      <c r="B3" s="20"/>
      <c r="C3" s="20"/>
      <c r="D3" s="20"/>
      <c r="E3" s="20"/>
      <c r="F3" s="20"/>
      <c r="G3" s="20"/>
      <c r="H3" s="20"/>
      <c r="I3" s="20"/>
      <c r="J3" s="20"/>
      <c r="K3" s="20"/>
      <c r="L3" s="20"/>
      <c r="M3" s="20"/>
      <c r="N3" s="20"/>
      <c r="O3" s="20"/>
      <c r="P3" s="20"/>
      <c r="Q3" s="20"/>
      <c r="R3" s="20"/>
      <c r="S3" s="20"/>
      <c r="T3" s="20"/>
    </row>
  </sheetData>
  <mergeCells count="1">
    <mergeCell ref="A1:T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9AD3A-AB9F-45A2-844D-656B05C1159F}">
  <dimension ref="A1:L16"/>
  <sheetViews>
    <sheetView topLeftCell="A13" workbookViewId="0">
      <selection activeCell="D10" sqref="D10"/>
    </sheetView>
  </sheetViews>
  <sheetFormatPr defaultRowHeight="14.5" x14ac:dyDescent="0.35"/>
  <cols>
    <col min="1" max="1" width="12.453125" customWidth="1"/>
    <col min="2" max="2" width="9.90625" customWidth="1"/>
    <col min="3" max="3" width="9" customWidth="1"/>
    <col min="4" max="4" width="9.36328125" customWidth="1"/>
  </cols>
  <sheetData>
    <row r="1" spans="1:12" s="2" customFormat="1" x14ac:dyDescent="0.35">
      <c r="A1" s="19" t="s">
        <v>1</v>
      </c>
      <c r="B1" s="19"/>
      <c r="C1" s="19"/>
      <c r="D1" s="19"/>
      <c r="E1" s="19"/>
      <c r="F1" s="19"/>
      <c r="G1" s="19"/>
      <c r="H1" s="19"/>
      <c r="I1" s="19"/>
      <c r="J1" s="19"/>
      <c r="K1" s="19"/>
      <c r="L1" s="19"/>
    </row>
    <row r="2" spans="1:12" s="2" customFormat="1" x14ac:dyDescent="0.35">
      <c r="A2" s="19"/>
      <c r="B2" s="19"/>
      <c r="C2" s="19"/>
      <c r="D2" s="19"/>
      <c r="E2" s="19"/>
      <c r="F2" s="19"/>
      <c r="G2" s="19"/>
      <c r="H2" s="19"/>
      <c r="I2" s="19"/>
      <c r="J2" s="19"/>
      <c r="K2" s="19"/>
      <c r="L2" s="19"/>
    </row>
    <row r="3" spans="1:12" s="2" customFormat="1" x14ac:dyDescent="0.35">
      <c r="A3" s="19"/>
      <c r="B3" s="19"/>
      <c r="C3" s="19"/>
      <c r="D3" s="19"/>
      <c r="E3" s="19"/>
      <c r="F3" s="19"/>
      <c r="G3" s="19"/>
      <c r="H3" s="19"/>
      <c r="I3" s="19"/>
      <c r="J3" s="19"/>
      <c r="K3" s="19"/>
      <c r="L3" s="19"/>
    </row>
    <row r="5" spans="1:12" ht="29" x14ac:dyDescent="0.35">
      <c r="A5" s="3" t="s">
        <v>2</v>
      </c>
      <c r="B5" s="3" t="s">
        <v>3</v>
      </c>
      <c r="C5" s="3" t="s">
        <v>4</v>
      </c>
      <c r="D5" s="3" t="s">
        <v>5</v>
      </c>
    </row>
    <row r="6" spans="1:12" ht="43.5" x14ac:dyDescent="0.35">
      <c r="A6" s="4" t="s">
        <v>6</v>
      </c>
      <c r="B6" s="4">
        <v>10</v>
      </c>
      <c r="C6" s="4">
        <v>10</v>
      </c>
      <c r="D6" s="4">
        <v>10</v>
      </c>
    </row>
    <row r="7" spans="1:12" ht="58" x14ac:dyDescent="0.35">
      <c r="A7" s="4" t="s">
        <v>7</v>
      </c>
      <c r="B7" s="4">
        <v>500</v>
      </c>
      <c r="C7" s="4">
        <v>650</v>
      </c>
      <c r="D7" s="4">
        <v>450</v>
      </c>
    </row>
    <row r="8" spans="1:12" ht="29" x14ac:dyDescent="0.35">
      <c r="A8" s="4" t="s">
        <v>8</v>
      </c>
      <c r="B8" s="4">
        <v>250</v>
      </c>
      <c r="C8" s="4">
        <v>300</v>
      </c>
      <c r="D8" s="4">
        <v>220</v>
      </c>
    </row>
    <row r="9" spans="1:12" ht="29" x14ac:dyDescent="0.35">
      <c r="A9" s="4" t="s">
        <v>9</v>
      </c>
      <c r="B9" s="6">
        <v>0.06</v>
      </c>
      <c r="C9" s="16">
        <v>5.5E-2</v>
      </c>
      <c r="D9" s="6">
        <v>0.06</v>
      </c>
    </row>
    <row r="10" spans="1:12" ht="29" x14ac:dyDescent="0.35">
      <c r="A10" s="4" t="s">
        <v>27</v>
      </c>
      <c r="B10" s="6">
        <v>0.04</v>
      </c>
      <c r="C10" s="6">
        <v>0.02</v>
      </c>
      <c r="D10" s="6">
        <v>0.03</v>
      </c>
    </row>
    <row r="11" spans="1:12" ht="43.5" x14ac:dyDescent="0.35">
      <c r="A11" s="4" t="s">
        <v>10</v>
      </c>
      <c r="B11" s="6">
        <v>0.6</v>
      </c>
      <c r="C11" s="6">
        <v>0.62</v>
      </c>
      <c r="D11" s="6">
        <v>0.55000000000000004</v>
      </c>
    </row>
    <row r="12" spans="1:12" x14ac:dyDescent="0.35">
      <c r="A12" s="4" t="s">
        <v>11</v>
      </c>
      <c r="B12" s="6">
        <v>0.25</v>
      </c>
      <c r="C12" s="6">
        <v>0.25</v>
      </c>
      <c r="D12" s="6">
        <v>0.2</v>
      </c>
    </row>
    <row r="13" spans="1:12" ht="29" x14ac:dyDescent="0.35">
      <c r="A13" s="4" t="s">
        <v>12</v>
      </c>
      <c r="B13" s="4">
        <v>10</v>
      </c>
      <c r="C13" s="4">
        <v>10</v>
      </c>
      <c r="D13" s="4">
        <v>10</v>
      </c>
    </row>
    <row r="14" spans="1:12" ht="29" x14ac:dyDescent="0.35">
      <c r="A14" s="4" t="s">
        <v>13</v>
      </c>
      <c r="B14" s="4">
        <v>50</v>
      </c>
      <c r="C14" s="4">
        <v>90</v>
      </c>
      <c r="D14" s="4">
        <v>45</v>
      </c>
    </row>
    <row r="15" spans="1:12" ht="29" x14ac:dyDescent="0.35">
      <c r="A15" s="4" t="s">
        <v>14</v>
      </c>
      <c r="B15" s="4">
        <v>25</v>
      </c>
      <c r="C15" s="4">
        <v>30</v>
      </c>
      <c r="D15" s="4">
        <v>20</v>
      </c>
    </row>
    <row r="16" spans="1:12" x14ac:dyDescent="0.35">
      <c r="A16" s="4"/>
      <c r="B16" s="6"/>
      <c r="C16" s="6"/>
      <c r="D16" s="6"/>
    </row>
  </sheetData>
  <mergeCells count="1">
    <mergeCell ref="A1:L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9514D-61F4-413E-95F4-F06B18342832}">
  <dimension ref="A1:G23"/>
  <sheetViews>
    <sheetView topLeftCell="A16" workbookViewId="0">
      <selection activeCell="C24" sqref="C24"/>
    </sheetView>
  </sheetViews>
  <sheetFormatPr defaultRowHeight="14.5" x14ac:dyDescent="0.35"/>
  <cols>
    <col min="2" max="2" width="7.7265625" customWidth="1"/>
    <col min="3" max="3" width="13.26953125" bestFit="1" customWidth="1"/>
  </cols>
  <sheetData>
    <row r="1" spans="1:7" s="22" customFormat="1" x14ac:dyDescent="0.35"/>
    <row r="2" spans="1:7" s="22" customFormat="1" x14ac:dyDescent="0.35"/>
    <row r="3" spans="1:7" s="24" customFormat="1" ht="23.5" x14ac:dyDescent="0.55000000000000004">
      <c r="A3" s="23" t="s">
        <v>36</v>
      </c>
    </row>
    <row r="5" spans="1:7" x14ac:dyDescent="0.35">
      <c r="A5" t="s">
        <v>37</v>
      </c>
      <c r="B5" s="25" t="s">
        <v>38</v>
      </c>
      <c r="C5" s="25"/>
      <c r="D5" s="25"/>
      <c r="E5" s="25"/>
      <c r="F5" s="25"/>
      <c r="G5" s="25"/>
    </row>
    <row r="7" spans="1:7" x14ac:dyDescent="0.35">
      <c r="A7" t="s">
        <v>39</v>
      </c>
      <c r="B7" s="25" t="s">
        <v>40</v>
      </c>
      <c r="C7" s="25"/>
    </row>
    <row r="8" spans="1:7" x14ac:dyDescent="0.35">
      <c r="A8" t="s">
        <v>39</v>
      </c>
      <c r="B8" s="25" t="s">
        <v>41</v>
      </c>
      <c r="C8" s="25"/>
    </row>
    <row r="10" spans="1:7" x14ac:dyDescent="0.35">
      <c r="A10" t="s">
        <v>42</v>
      </c>
      <c r="B10" s="11">
        <v>4.4999999999999998E-2</v>
      </c>
      <c r="C10" s="21" t="s">
        <v>43</v>
      </c>
      <c r="D10" s="21"/>
      <c r="E10" s="21"/>
    </row>
    <row r="11" spans="1:7" x14ac:dyDescent="0.35">
      <c r="A11" t="s">
        <v>44</v>
      </c>
      <c r="B11">
        <v>1.45</v>
      </c>
      <c r="C11" s="10" t="s">
        <v>53</v>
      </c>
    </row>
    <row r="12" spans="1:7" x14ac:dyDescent="0.35">
      <c r="A12" t="s">
        <v>45</v>
      </c>
      <c r="B12" s="11">
        <v>0.06</v>
      </c>
      <c r="C12" s="10"/>
    </row>
    <row r="13" spans="1:7" x14ac:dyDescent="0.35">
      <c r="A13" t="s">
        <v>46</v>
      </c>
      <c r="B13" s="11">
        <f>tgr+B11*B12</f>
        <v>0.13200000000000001</v>
      </c>
    </row>
    <row r="15" spans="1:7" x14ac:dyDescent="0.35">
      <c r="A15" t="s">
        <v>47</v>
      </c>
      <c r="B15" t="s">
        <v>48</v>
      </c>
    </row>
    <row r="16" spans="1:7" x14ac:dyDescent="0.35">
      <c r="A16" t="s">
        <v>47</v>
      </c>
      <c r="B16" s="5">
        <v>4.1300000000000003E-2</v>
      </c>
    </row>
    <row r="18" spans="1:3" x14ac:dyDescent="0.35">
      <c r="A18" t="s">
        <v>54</v>
      </c>
      <c r="B18">
        <v>66.638999999999996</v>
      </c>
      <c r="C18" s="10" t="s">
        <v>49</v>
      </c>
    </row>
    <row r="19" spans="1:3" x14ac:dyDescent="0.35">
      <c r="A19" t="s">
        <v>50</v>
      </c>
      <c r="B19">
        <v>24.077000000000002</v>
      </c>
      <c r="C19" s="10" t="s">
        <v>49</v>
      </c>
    </row>
    <row r="20" spans="1:3" x14ac:dyDescent="0.35">
      <c r="A20" t="s">
        <v>51</v>
      </c>
      <c r="B20" s="5">
        <f>B18/(B18+B19)</f>
        <v>0.73458926760439169</v>
      </c>
    </row>
    <row r="21" spans="1:3" x14ac:dyDescent="0.35">
      <c r="A21" t="s">
        <v>52</v>
      </c>
      <c r="B21" s="5">
        <f>1-B20</f>
        <v>0.26541073239560831</v>
      </c>
    </row>
    <row r="23" spans="1:3" x14ac:dyDescent="0.35">
      <c r="A23" t="s">
        <v>36</v>
      </c>
      <c r="B23" s="12">
        <f>B13*B20+B21*B16</f>
        <v>0.10792724657171833</v>
      </c>
    </row>
  </sheetData>
  <mergeCells count="7">
    <mergeCell ref="C10:E10"/>
    <mergeCell ref="A1:XFD1"/>
    <mergeCell ref="A2:XFD2"/>
    <mergeCell ref="A3:XFD3"/>
    <mergeCell ref="B5:G5"/>
    <mergeCell ref="B7:C7"/>
    <mergeCell ref="B8:C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D6978-214F-4E0D-BCDA-E73D0F785743}">
  <dimension ref="A1:M39"/>
  <sheetViews>
    <sheetView tabSelected="1" zoomScale="90" zoomScaleNormal="90" workbookViewId="0">
      <selection activeCell="C39" sqref="C39"/>
    </sheetView>
  </sheetViews>
  <sheetFormatPr defaultRowHeight="14.5" x14ac:dyDescent="0.35"/>
  <cols>
    <col min="1" max="1" width="23.08984375" bestFit="1" customWidth="1"/>
    <col min="2" max="2" width="9.81640625" bestFit="1" customWidth="1"/>
  </cols>
  <sheetData>
    <row r="1" spans="1:13" s="1" customFormat="1" ht="14.5" customHeight="1" x14ac:dyDescent="0.35">
      <c r="A1" s="26" t="s">
        <v>3</v>
      </c>
      <c r="B1" s="26"/>
      <c r="C1" s="26"/>
      <c r="D1" s="26"/>
      <c r="E1" s="26"/>
      <c r="F1" s="26"/>
      <c r="G1" s="26"/>
      <c r="H1" s="26"/>
      <c r="I1" s="2"/>
    </row>
    <row r="2" spans="1:13" s="1" customFormat="1" x14ac:dyDescent="0.35">
      <c r="A2" s="26"/>
      <c r="B2" s="26"/>
      <c r="C2" s="26"/>
      <c r="D2" s="26"/>
      <c r="E2" s="26"/>
      <c r="F2" s="26"/>
      <c r="G2" s="26"/>
      <c r="H2" s="26"/>
      <c r="I2" s="2"/>
    </row>
    <row r="3" spans="1:13" s="1" customFormat="1" ht="18.5" customHeight="1" x14ac:dyDescent="0.35">
      <c r="A3" s="26"/>
      <c r="B3" s="26"/>
      <c r="C3" s="26"/>
      <c r="D3" s="26"/>
      <c r="E3" s="26"/>
      <c r="F3" s="26"/>
      <c r="G3" s="26"/>
      <c r="H3" s="26"/>
    </row>
    <row r="4" spans="1:13" ht="15" customHeight="1" x14ac:dyDescent="0.55000000000000004">
      <c r="A4" s="18"/>
      <c r="B4" s="18"/>
      <c r="C4" s="18"/>
      <c r="D4" s="18"/>
      <c r="E4" s="18"/>
      <c r="F4" s="18"/>
      <c r="G4" s="18"/>
      <c r="H4" s="18"/>
    </row>
    <row r="5" spans="1:13" x14ac:dyDescent="0.35">
      <c r="A5" t="s">
        <v>15</v>
      </c>
      <c r="C5">
        <v>0</v>
      </c>
      <c r="D5">
        <v>1</v>
      </c>
      <c r="E5">
        <v>2</v>
      </c>
      <c r="F5">
        <v>3</v>
      </c>
      <c r="G5">
        <v>4</v>
      </c>
      <c r="H5">
        <v>5</v>
      </c>
      <c r="I5">
        <v>6</v>
      </c>
      <c r="J5">
        <v>7</v>
      </c>
      <c r="K5">
        <v>8</v>
      </c>
      <c r="L5">
        <v>9</v>
      </c>
      <c r="M5">
        <v>10</v>
      </c>
    </row>
    <row r="6" spans="1:13" x14ac:dyDescent="0.35">
      <c r="A6" t="s">
        <v>19</v>
      </c>
      <c r="C6">
        <f>B33</f>
        <v>-525</v>
      </c>
      <c r="D6" s="8">
        <f>D26</f>
        <v>87.5</v>
      </c>
      <c r="E6" s="8">
        <f t="shared" ref="E6:L6" si="0">E26</f>
        <v>87.22999999999999</v>
      </c>
      <c r="F6" s="8">
        <f t="shared" si="0"/>
        <v>91.713800000000006</v>
      </c>
      <c r="G6" s="8">
        <f t="shared" si="0"/>
        <v>96.466628000000043</v>
      </c>
      <c r="H6" s="8">
        <f t="shared" si="0"/>
        <v>101.50462568000003</v>
      </c>
      <c r="I6" s="8">
        <f t="shared" si="0"/>
        <v>106.84490322080003</v>
      </c>
      <c r="J6" s="8">
        <f t="shared" si="0"/>
        <v>112.50559741404803</v>
      </c>
      <c r="K6" s="8">
        <f t="shared" si="0"/>
        <v>118.50593325889093</v>
      </c>
      <c r="L6" s="8">
        <f t="shared" si="0"/>
        <v>124.86628925442439</v>
      </c>
      <c r="M6" s="8">
        <f>B39</f>
        <v>194.10826660968982</v>
      </c>
    </row>
    <row r="7" spans="1:13" x14ac:dyDescent="0.35">
      <c r="A7" t="s">
        <v>55</v>
      </c>
      <c r="D7">
        <f>1/(1+WACC!$B$23)^India!D5</f>
        <v>0.90258634138145832</v>
      </c>
      <c r="E7">
        <f>1/(1+WACC!$B$23)^India!E5</f>
        <v>0.81466210364836633</v>
      </c>
      <c r="F7">
        <f>1/(1+WACC!$B$23)^India!F5</f>
        <v>0.73530288759410123</v>
      </c>
      <c r="G7">
        <f>1/(1+WACC!$B$23)^India!G5</f>
        <v>0.66367434312078155</v>
      </c>
      <c r="H7">
        <f>1/(1+WACC!$B$23)^India!H5</f>
        <v>0.59902339722612874</v>
      </c>
      <c r="I7">
        <f>1/(1+WACC!$B$23)^India!I5</f>
        <v>0.54067033650422347</v>
      </c>
      <c r="J7">
        <f>1/(1+WACC!$B$23)^India!J5</f>
        <v>0.48800166091882891</v>
      </c>
      <c r="K7">
        <f>1/(1+WACC!$B$23)^India!K5</f>
        <v>0.44046363371680081</v>
      </c>
      <c r="L7">
        <f>1/(1+WACC!$B$23)^India!L5</f>
        <v>0.39755645966802999</v>
      </c>
      <c r="M7">
        <f>1/(1+WACC!$B$23)^India!M5</f>
        <v>0.35882903042433245</v>
      </c>
    </row>
    <row r="8" spans="1:13" x14ac:dyDescent="0.35">
      <c r="A8" t="s">
        <v>56</v>
      </c>
      <c r="C8">
        <f>C6</f>
        <v>-525</v>
      </c>
      <c r="D8" s="8">
        <f>D6*D7</f>
        <v>78.976304870877598</v>
      </c>
      <c r="E8" s="8">
        <f t="shared" ref="E8:M8" si="1">E6*E7</f>
        <v>71.062975301246993</v>
      </c>
      <c r="F8" s="8">
        <f t="shared" si="1"/>
        <v>67.437421972227881</v>
      </c>
      <c r="G8" s="8">
        <f t="shared" si="1"/>
        <v>64.022425970976826</v>
      </c>
      <c r="H8" s="8">
        <f t="shared" si="1"/>
        <v>60.803645709000165</v>
      </c>
      <c r="I8" s="8">
        <f t="shared" si="1"/>
        <v>57.767869778151145</v>
      </c>
      <c r="J8" s="8">
        <f t="shared" si="1"/>
        <v>54.902918400720537</v>
      </c>
      <c r="K8" s="8">
        <f t="shared" si="1"/>
        <v>52.197553980211779</v>
      </c>
      <c r="L8" s="8">
        <f t="shared" si="1"/>
        <v>49.641399887873135</v>
      </c>
      <c r="M8" s="8">
        <f t="shared" si="1"/>
        <v>69.651681104902821</v>
      </c>
    </row>
    <row r="10" spans="1:13" x14ac:dyDescent="0.35">
      <c r="A10" s="13" t="s">
        <v>16</v>
      </c>
      <c r="B10" s="14">
        <f>SUM(D8:M8)+C8</f>
        <v>101.46419697618899</v>
      </c>
    </row>
    <row r="12" spans="1:13" x14ac:dyDescent="0.35">
      <c r="A12" s="13" t="s">
        <v>17</v>
      </c>
      <c r="B12" s="15">
        <f>IRR(C6:M6)</f>
        <v>0.14716654344226088</v>
      </c>
    </row>
    <row r="14" spans="1:13" x14ac:dyDescent="0.35">
      <c r="A14" s="13" t="s">
        <v>18</v>
      </c>
      <c r="B14" s="17" t="s">
        <v>57</v>
      </c>
    </row>
    <row r="18" spans="1:13" ht="15" thickBot="1" x14ac:dyDescent="0.4">
      <c r="A18" s="7"/>
      <c r="B18" s="7"/>
      <c r="C18" s="7"/>
      <c r="D18" s="7"/>
      <c r="E18" s="7"/>
      <c r="F18" s="7"/>
      <c r="G18" s="7"/>
      <c r="H18" s="7"/>
      <c r="I18" s="7"/>
      <c r="J18" s="7"/>
      <c r="K18" s="7"/>
      <c r="L18" s="7"/>
      <c r="M18" s="7"/>
    </row>
    <row r="19" spans="1:13" x14ac:dyDescent="0.35">
      <c r="D19">
        <v>1</v>
      </c>
      <c r="E19">
        <v>2</v>
      </c>
      <c r="F19">
        <v>3</v>
      </c>
      <c r="G19">
        <v>4</v>
      </c>
      <c r="H19">
        <v>5</v>
      </c>
      <c r="I19">
        <v>6</v>
      </c>
      <c r="J19">
        <v>7</v>
      </c>
      <c r="K19">
        <v>8</v>
      </c>
      <c r="L19">
        <v>9</v>
      </c>
      <c r="M19">
        <v>10</v>
      </c>
    </row>
    <row r="20" spans="1:13" x14ac:dyDescent="0.35">
      <c r="A20" t="s">
        <v>20</v>
      </c>
      <c r="D20" s="8">
        <v>250</v>
      </c>
      <c r="E20" s="8">
        <f>D20*(1+$B$29)</f>
        <v>265</v>
      </c>
      <c r="F20" s="8">
        <f t="shared" ref="F20:M20" si="2">E20*(1+$B$29)</f>
        <v>280.90000000000003</v>
      </c>
      <c r="G20" s="8">
        <f t="shared" si="2"/>
        <v>297.75400000000008</v>
      </c>
      <c r="H20" s="8">
        <f t="shared" si="2"/>
        <v>315.6192400000001</v>
      </c>
      <c r="I20" s="8">
        <f t="shared" si="2"/>
        <v>334.5563944000001</v>
      </c>
      <c r="J20" s="8">
        <f t="shared" si="2"/>
        <v>354.62977806400011</v>
      </c>
      <c r="K20" s="8">
        <f t="shared" si="2"/>
        <v>375.90756474784013</v>
      </c>
      <c r="L20" s="8">
        <f t="shared" si="2"/>
        <v>398.46201863271057</v>
      </c>
      <c r="M20" s="8">
        <f t="shared" si="2"/>
        <v>422.3697397506732</v>
      </c>
    </row>
    <row r="21" spans="1:13" x14ac:dyDescent="0.35">
      <c r="A21" t="s">
        <v>22</v>
      </c>
      <c r="D21" s="8">
        <f>-D20*60%</f>
        <v>-150</v>
      </c>
      <c r="E21" s="8">
        <f>-E20*60%*(1+$B$30)</f>
        <v>-165.36</v>
      </c>
      <c r="F21" s="8">
        <f t="shared" ref="F21:M21" si="3">-F20*60%*(1+$B$30)</f>
        <v>-175.28160000000003</v>
      </c>
      <c r="G21" s="8">
        <f t="shared" si="3"/>
        <v>-185.79849600000003</v>
      </c>
      <c r="H21" s="8">
        <f t="shared" si="3"/>
        <v>-196.94640576000006</v>
      </c>
      <c r="I21" s="8">
        <f t="shared" si="3"/>
        <v>-208.76319010560005</v>
      </c>
      <c r="J21" s="8">
        <f t="shared" si="3"/>
        <v>-221.28898151193607</v>
      </c>
      <c r="K21" s="8">
        <f t="shared" si="3"/>
        <v>-234.56632040265222</v>
      </c>
      <c r="L21" s="8">
        <f t="shared" si="3"/>
        <v>-248.64029962681138</v>
      </c>
      <c r="M21" s="8">
        <f t="shared" si="3"/>
        <v>-263.55871760442011</v>
      </c>
    </row>
    <row r="22" spans="1:13" x14ac:dyDescent="0.35">
      <c r="A22" t="s">
        <v>21</v>
      </c>
      <c r="D22" s="8">
        <f>-$B$31</f>
        <v>-50</v>
      </c>
      <c r="E22" s="8">
        <f>-$B$31</f>
        <v>-50</v>
      </c>
      <c r="F22" s="8">
        <f t="shared" ref="F22:M22" si="4">-$B$31</f>
        <v>-50</v>
      </c>
      <c r="G22" s="8">
        <f t="shared" si="4"/>
        <v>-50</v>
      </c>
      <c r="H22" s="8">
        <f t="shared" si="4"/>
        <v>-50</v>
      </c>
      <c r="I22" s="8">
        <f t="shared" si="4"/>
        <v>-50</v>
      </c>
      <c r="J22" s="8">
        <f t="shared" si="4"/>
        <v>-50</v>
      </c>
      <c r="K22" s="8">
        <f t="shared" si="4"/>
        <v>-50</v>
      </c>
      <c r="L22" s="8">
        <f t="shared" si="4"/>
        <v>-50</v>
      </c>
      <c r="M22" s="8">
        <f t="shared" si="4"/>
        <v>-50</v>
      </c>
    </row>
    <row r="23" spans="1:13" x14ac:dyDescent="0.35">
      <c r="A23" s="9" t="s">
        <v>29</v>
      </c>
      <c r="D23" s="8">
        <f>D20+D21+D22</f>
        <v>50</v>
      </c>
      <c r="E23" s="8">
        <f t="shared" ref="E23:M23" si="5">E20+E21+E22</f>
        <v>49.639999999999986</v>
      </c>
      <c r="F23" s="8">
        <f t="shared" si="5"/>
        <v>55.618400000000008</v>
      </c>
      <c r="G23" s="8">
        <f t="shared" si="5"/>
        <v>61.955504000000047</v>
      </c>
      <c r="H23" s="8">
        <f t="shared" si="5"/>
        <v>68.672834240000043</v>
      </c>
      <c r="I23" s="8">
        <f t="shared" si="5"/>
        <v>75.793204294400056</v>
      </c>
      <c r="J23" s="8">
        <f t="shared" si="5"/>
        <v>83.340796552064035</v>
      </c>
      <c r="K23" s="8">
        <f t="shared" si="5"/>
        <v>91.341244345187903</v>
      </c>
      <c r="L23" s="8">
        <f t="shared" si="5"/>
        <v>99.821719005899183</v>
      </c>
      <c r="M23" s="8">
        <f t="shared" si="5"/>
        <v>108.81102214625309</v>
      </c>
    </row>
    <row r="24" spans="1:13" x14ac:dyDescent="0.35">
      <c r="A24" t="s">
        <v>23</v>
      </c>
      <c r="D24" s="8">
        <f>-D23*25%</f>
        <v>-12.5</v>
      </c>
      <c r="E24" s="8">
        <f t="shared" ref="E24:M24" si="6">-E23*25%</f>
        <v>-12.409999999999997</v>
      </c>
      <c r="F24" s="8">
        <f t="shared" si="6"/>
        <v>-13.904600000000002</v>
      </c>
      <c r="G24" s="8">
        <f t="shared" si="6"/>
        <v>-15.488876000000012</v>
      </c>
      <c r="H24" s="8">
        <f t="shared" si="6"/>
        <v>-17.168208560000011</v>
      </c>
      <c r="I24" s="8">
        <f t="shared" si="6"/>
        <v>-18.948301073600014</v>
      </c>
      <c r="J24" s="8">
        <f t="shared" si="6"/>
        <v>-20.835199138016009</v>
      </c>
      <c r="K24" s="8">
        <f t="shared" si="6"/>
        <v>-22.835311086296976</v>
      </c>
      <c r="L24" s="8">
        <f t="shared" si="6"/>
        <v>-24.955429751474796</v>
      </c>
      <c r="M24" s="8">
        <f t="shared" si="6"/>
        <v>-27.202755536563274</v>
      </c>
    </row>
    <row r="25" spans="1:13" x14ac:dyDescent="0.35">
      <c r="A25" t="s">
        <v>24</v>
      </c>
      <c r="D25" s="8">
        <f>$B$31</f>
        <v>50</v>
      </c>
      <c r="E25" s="8">
        <f t="shared" ref="E25:M25" si="7">$B$31</f>
        <v>50</v>
      </c>
      <c r="F25" s="8">
        <f t="shared" si="7"/>
        <v>50</v>
      </c>
      <c r="G25" s="8">
        <f t="shared" si="7"/>
        <v>50</v>
      </c>
      <c r="H25" s="8">
        <f t="shared" si="7"/>
        <v>50</v>
      </c>
      <c r="I25" s="8">
        <f t="shared" si="7"/>
        <v>50</v>
      </c>
      <c r="J25" s="8">
        <f t="shared" si="7"/>
        <v>50</v>
      </c>
      <c r="K25" s="8">
        <f t="shared" si="7"/>
        <v>50</v>
      </c>
      <c r="L25" s="8">
        <f t="shared" si="7"/>
        <v>50</v>
      </c>
      <c r="M25" s="8">
        <f t="shared" si="7"/>
        <v>50</v>
      </c>
    </row>
    <row r="26" spans="1:13" x14ac:dyDescent="0.35">
      <c r="A26" s="9" t="s">
        <v>25</v>
      </c>
      <c r="D26" s="8">
        <f>D23+D24+D25</f>
        <v>87.5</v>
      </c>
      <c r="E26" s="8">
        <f t="shared" ref="E26:M26" si="8">E23+E24+E25</f>
        <v>87.22999999999999</v>
      </c>
      <c r="F26" s="8">
        <f t="shared" si="8"/>
        <v>91.713800000000006</v>
      </c>
      <c r="G26" s="8">
        <f t="shared" si="8"/>
        <v>96.466628000000043</v>
      </c>
      <c r="H26" s="8">
        <f t="shared" si="8"/>
        <v>101.50462568000003</v>
      </c>
      <c r="I26" s="8">
        <f t="shared" si="8"/>
        <v>106.84490322080003</v>
      </c>
      <c r="J26" s="8">
        <f t="shared" si="8"/>
        <v>112.50559741404803</v>
      </c>
      <c r="K26" s="8">
        <f t="shared" si="8"/>
        <v>118.50593325889093</v>
      </c>
      <c r="L26" s="8">
        <f t="shared" si="8"/>
        <v>124.86628925442439</v>
      </c>
      <c r="M26" s="8">
        <f t="shared" si="8"/>
        <v>131.60826660968982</v>
      </c>
    </row>
    <row r="28" spans="1:13" x14ac:dyDescent="0.35">
      <c r="A28" s="3"/>
      <c r="B28" s="3"/>
    </row>
    <row r="29" spans="1:13" x14ac:dyDescent="0.35">
      <c r="A29" s="4" t="s">
        <v>26</v>
      </c>
      <c r="B29" s="6">
        <f>Assumptions!B9</f>
        <v>0.06</v>
      </c>
    </row>
    <row r="30" spans="1:13" x14ac:dyDescent="0.35">
      <c r="A30" s="4" t="s">
        <v>27</v>
      </c>
      <c r="B30" s="6">
        <f>Assumptions!B10</f>
        <v>0.04</v>
      </c>
    </row>
    <row r="31" spans="1:13" x14ac:dyDescent="0.35">
      <c r="A31" t="s">
        <v>28</v>
      </c>
      <c r="B31">
        <f>Assumptions!B7/10</f>
        <v>50</v>
      </c>
    </row>
    <row r="33" spans="1:2" x14ac:dyDescent="0.35">
      <c r="A33" s="10" t="s">
        <v>30</v>
      </c>
      <c r="B33">
        <f>-525</f>
        <v>-525</v>
      </c>
    </row>
    <row r="34" spans="1:2" x14ac:dyDescent="0.35">
      <c r="B34" s="8"/>
    </row>
    <row r="35" spans="1:2" x14ac:dyDescent="0.35">
      <c r="A35" s="10" t="s">
        <v>31</v>
      </c>
    </row>
    <row r="36" spans="1:2" x14ac:dyDescent="0.35">
      <c r="A36" t="s">
        <v>32</v>
      </c>
      <c r="B36" s="8">
        <f>M26</f>
        <v>131.60826660968982</v>
      </c>
    </row>
    <row r="37" spans="1:2" x14ac:dyDescent="0.35">
      <c r="A37" t="s">
        <v>33</v>
      </c>
      <c r="B37">
        <f>Assumptions!B14*(1-0.25)</f>
        <v>37.5</v>
      </c>
    </row>
    <row r="38" spans="1:2" x14ac:dyDescent="0.35">
      <c r="A38" t="s">
        <v>34</v>
      </c>
      <c r="B38">
        <f>Assumptions!B15</f>
        <v>25</v>
      </c>
    </row>
    <row r="39" spans="1:2" x14ac:dyDescent="0.35">
      <c r="A39" t="s">
        <v>35</v>
      </c>
      <c r="B39" s="8">
        <f>B36+B37+B38</f>
        <v>194.10826660968982</v>
      </c>
    </row>
  </sheetData>
  <mergeCells count="1">
    <mergeCell ref="A1:H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D3709-AA72-4528-AE7D-5017E3CFC828}">
  <dimension ref="A1:M39"/>
  <sheetViews>
    <sheetView topLeftCell="A4" zoomScaleNormal="100" workbookViewId="0">
      <selection activeCell="C39" sqref="C39"/>
    </sheetView>
  </sheetViews>
  <sheetFormatPr defaultRowHeight="14.5" x14ac:dyDescent="0.35"/>
  <cols>
    <col min="1" max="1" width="23.08984375" bestFit="1" customWidth="1"/>
    <col min="2" max="2" width="9.81640625" bestFit="1" customWidth="1"/>
  </cols>
  <sheetData>
    <row r="1" spans="1:13" s="1" customFormat="1" ht="14.5" customHeight="1" x14ac:dyDescent="0.35">
      <c r="A1" s="19" t="s">
        <v>4</v>
      </c>
      <c r="B1" s="19"/>
      <c r="C1" s="19"/>
      <c r="D1" s="19"/>
      <c r="E1" s="19"/>
      <c r="F1" s="19"/>
      <c r="G1" s="19"/>
      <c r="H1" s="2"/>
      <c r="I1" s="2"/>
    </row>
    <row r="2" spans="1:13" s="1" customFormat="1" x14ac:dyDescent="0.35">
      <c r="A2" s="19"/>
      <c r="B2" s="19"/>
      <c r="C2" s="19"/>
      <c r="D2" s="19"/>
      <c r="E2" s="19"/>
      <c r="F2" s="19"/>
      <c r="G2" s="19"/>
      <c r="H2" s="2"/>
      <c r="I2" s="2"/>
    </row>
    <row r="3" spans="1:13" s="1" customFormat="1" x14ac:dyDescent="0.35">
      <c r="A3" s="19"/>
      <c r="B3" s="19"/>
      <c r="C3" s="19"/>
      <c r="D3" s="19"/>
      <c r="E3" s="19"/>
      <c r="F3" s="19"/>
      <c r="G3" s="19"/>
    </row>
    <row r="5" spans="1:13" x14ac:dyDescent="0.35">
      <c r="A5" t="s">
        <v>15</v>
      </c>
      <c r="C5">
        <v>0</v>
      </c>
      <c r="D5">
        <v>1</v>
      </c>
      <c r="E5">
        <v>2</v>
      </c>
      <c r="F5">
        <v>3</v>
      </c>
      <c r="G5">
        <v>4</v>
      </c>
      <c r="H5">
        <v>5</v>
      </c>
      <c r="I5">
        <v>6</v>
      </c>
      <c r="J5">
        <v>7</v>
      </c>
      <c r="K5">
        <v>8</v>
      </c>
      <c r="L5">
        <v>9</v>
      </c>
      <c r="M5">
        <v>10</v>
      </c>
    </row>
    <row r="6" spans="1:13" x14ac:dyDescent="0.35">
      <c r="A6" t="s">
        <v>19</v>
      </c>
      <c r="C6">
        <f>B33</f>
        <v>-680</v>
      </c>
      <c r="D6" s="8">
        <f>D26</f>
        <v>101.75</v>
      </c>
      <c r="E6" s="8">
        <f t="shared" ref="E6:L6" si="0">E26</f>
        <v>103.50905</v>
      </c>
      <c r="F6" s="8">
        <f t="shared" si="0"/>
        <v>108.30829774999999</v>
      </c>
      <c r="G6" s="8">
        <f t="shared" si="0"/>
        <v>113.37150412625002</v>
      </c>
      <c r="H6" s="8">
        <f t="shared" si="0"/>
        <v>118.71318685319375</v>
      </c>
      <c r="I6" s="8">
        <f t="shared" si="0"/>
        <v>124.34866213011938</v>
      </c>
      <c r="J6" s="8">
        <f t="shared" si="0"/>
        <v>130.29408854727598</v>
      </c>
      <c r="K6" s="8">
        <f t="shared" si="0"/>
        <v>136.56651341737611</v>
      </c>
      <c r="L6" s="8">
        <f t="shared" si="0"/>
        <v>143.1839216553318</v>
      </c>
      <c r="M6" s="8">
        <f>B39</f>
        <v>247.66528734637507</v>
      </c>
    </row>
    <row r="7" spans="1:13" x14ac:dyDescent="0.35">
      <c r="A7" t="s">
        <v>55</v>
      </c>
      <c r="D7">
        <f>1/(1+WACC!$B$23)^D5</f>
        <v>0.90258634138145832</v>
      </c>
      <c r="E7">
        <f>1/(1+WACC!$B$23)^E5</f>
        <v>0.81466210364836633</v>
      </c>
      <c r="F7">
        <f>1/(1+WACC!$B$23)^F5</f>
        <v>0.73530288759410123</v>
      </c>
      <c r="G7">
        <f>1/(1+WACC!$B$23)^G5</f>
        <v>0.66367434312078155</v>
      </c>
      <c r="H7">
        <f>1/(1+WACC!$B$23)^H5</f>
        <v>0.59902339722612874</v>
      </c>
      <c r="I7">
        <f>1/(1+WACC!$B$23)^I5</f>
        <v>0.54067033650422347</v>
      </c>
      <c r="J7">
        <f>1/(1+WACC!$B$23)^J5</f>
        <v>0.48800166091882891</v>
      </c>
      <c r="K7">
        <f>1/(1+WACC!$B$23)^K5</f>
        <v>0.44046363371680081</v>
      </c>
      <c r="L7">
        <f>1/(1+WACC!$B$23)^L5</f>
        <v>0.39755645966802999</v>
      </c>
      <c r="M7">
        <f>1/(1+WACC!$B$23)^M5</f>
        <v>0.35882903042433245</v>
      </c>
    </row>
    <row r="8" spans="1:13" x14ac:dyDescent="0.35">
      <c r="A8" t="s">
        <v>56</v>
      </c>
      <c r="C8">
        <f>C6</f>
        <v>-680</v>
      </c>
      <c r="D8" s="8">
        <f>D6*D7</f>
        <v>91.838160235563379</v>
      </c>
      <c r="E8" s="8">
        <f t="shared" ref="E8:M8" si="1">E6*E7</f>
        <v>84.324900419643939</v>
      </c>
      <c r="F8" s="8">
        <f t="shared" si="1"/>
        <v>79.639404085976693</v>
      </c>
      <c r="G8" s="8">
        <f t="shared" si="1"/>
        <v>75.241758529603956</v>
      </c>
      <c r="H8" s="8">
        <f t="shared" si="1"/>
        <v>71.111976484340317</v>
      </c>
      <c r="I8" s="8">
        <f t="shared" si="1"/>
        <v>67.231632997741627</v>
      </c>
      <c r="J8" s="8">
        <f t="shared" si="1"/>
        <v>63.583731618975641</v>
      </c>
      <c r="K8" s="8">
        <f t="shared" si="1"/>
        <v>60.152582743851717</v>
      </c>
      <c r="L8" s="8">
        <f t="shared" si="1"/>
        <v>56.923692974678282</v>
      </c>
      <c r="M8" s="8">
        <f t="shared" si="1"/>
        <v>88.869494928263464</v>
      </c>
    </row>
    <row r="10" spans="1:13" x14ac:dyDescent="0.35">
      <c r="A10" s="13" t="s">
        <v>16</v>
      </c>
      <c r="B10" s="14">
        <f>SUM(D8:M8)+C8</f>
        <v>58.917335018638823</v>
      </c>
    </row>
    <row r="12" spans="1:13" x14ac:dyDescent="0.35">
      <c r="A12" s="13" t="s">
        <v>17</v>
      </c>
      <c r="B12" s="15">
        <f>IRR(C6:M6)</f>
        <v>0.12581192489044724</v>
      </c>
    </row>
    <row r="14" spans="1:13" x14ac:dyDescent="0.35">
      <c r="A14" s="13" t="s">
        <v>18</v>
      </c>
      <c r="B14" s="17" t="s">
        <v>58</v>
      </c>
    </row>
    <row r="18" spans="1:13" ht="15" thickBot="1" x14ac:dyDescent="0.4">
      <c r="A18" s="7"/>
      <c r="B18" s="7"/>
      <c r="C18" s="7"/>
      <c r="D18" s="7"/>
      <c r="E18" s="7"/>
      <c r="F18" s="7"/>
      <c r="G18" s="7"/>
      <c r="H18" s="7"/>
      <c r="I18" s="7"/>
      <c r="J18" s="7"/>
      <c r="K18" s="7"/>
      <c r="L18" s="7"/>
      <c r="M18" s="7"/>
    </row>
    <row r="19" spans="1:13" x14ac:dyDescent="0.35">
      <c r="D19">
        <v>1</v>
      </c>
      <c r="E19">
        <v>2</v>
      </c>
      <c r="F19">
        <v>3</v>
      </c>
      <c r="G19">
        <v>4</v>
      </c>
      <c r="H19">
        <v>5</v>
      </c>
      <c r="I19">
        <v>6</v>
      </c>
      <c r="J19">
        <v>7</v>
      </c>
      <c r="K19">
        <v>8</v>
      </c>
      <c r="L19">
        <v>9</v>
      </c>
      <c r="M19">
        <v>10</v>
      </c>
    </row>
    <row r="20" spans="1:13" x14ac:dyDescent="0.35">
      <c r="A20" t="s">
        <v>20</v>
      </c>
      <c r="D20" s="8">
        <v>300</v>
      </c>
      <c r="E20" s="8">
        <f>D20*(1+$B$29)</f>
        <v>316.5</v>
      </c>
      <c r="F20" s="8">
        <f t="shared" ref="F20:M20" si="2">E20*(1+$B$29)</f>
        <v>333.90749999999997</v>
      </c>
      <c r="G20" s="8">
        <f t="shared" si="2"/>
        <v>352.27241249999997</v>
      </c>
      <c r="H20" s="8">
        <f t="shared" si="2"/>
        <v>371.64739518749997</v>
      </c>
      <c r="I20" s="8">
        <f t="shared" si="2"/>
        <v>392.08800192281245</v>
      </c>
      <c r="J20" s="8">
        <f t="shared" si="2"/>
        <v>413.65284202856714</v>
      </c>
      <c r="K20" s="8">
        <f t="shared" si="2"/>
        <v>436.40374834013829</v>
      </c>
      <c r="L20" s="8">
        <f t="shared" si="2"/>
        <v>460.40595449884586</v>
      </c>
      <c r="M20" s="8">
        <f t="shared" si="2"/>
        <v>485.72828199628236</v>
      </c>
    </row>
    <row r="21" spans="1:13" x14ac:dyDescent="0.35">
      <c r="A21" t="s">
        <v>22</v>
      </c>
      <c r="D21" s="8">
        <f>-D20*62%</f>
        <v>-186</v>
      </c>
      <c r="E21" s="8">
        <f>-E20*62%*(1+$B$30)</f>
        <v>-200.15459999999999</v>
      </c>
      <c r="F21" s="8">
        <f t="shared" ref="F21:M21" si="3">-F20*62%*(1+$B$30)</f>
        <v>-211.16310299999998</v>
      </c>
      <c r="G21" s="8">
        <f t="shared" si="3"/>
        <v>-222.77707366499996</v>
      </c>
      <c r="H21" s="8">
        <f t="shared" si="3"/>
        <v>-235.02981271657498</v>
      </c>
      <c r="I21" s="8">
        <f t="shared" si="3"/>
        <v>-247.9564524159866</v>
      </c>
      <c r="J21" s="8">
        <f t="shared" si="3"/>
        <v>-261.59405729886583</v>
      </c>
      <c r="K21" s="8">
        <f t="shared" si="3"/>
        <v>-275.98173045030347</v>
      </c>
      <c r="L21" s="8">
        <f t="shared" si="3"/>
        <v>-291.16072562507014</v>
      </c>
      <c r="M21" s="8">
        <f t="shared" si="3"/>
        <v>-307.17456553444896</v>
      </c>
    </row>
    <row r="22" spans="1:13" x14ac:dyDescent="0.35">
      <c r="A22" t="s">
        <v>21</v>
      </c>
      <c r="D22" s="8">
        <f>-$B$31</f>
        <v>-65</v>
      </c>
      <c r="E22" s="8">
        <f>-$B$31</f>
        <v>-65</v>
      </c>
      <c r="F22" s="8">
        <f t="shared" ref="F22:M22" si="4">-$B$31</f>
        <v>-65</v>
      </c>
      <c r="G22" s="8">
        <f t="shared" si="4"/>
        <v>-65</v>
      </c>
      <c r="H22" s="8">
        <f t="shared" si="4"/>
        <v>-65</v>
      </c>
      <c r="I22" s="8">
        <f t="shared" si="4"/>
        <v>-65</v>
      </c>
      <c r="J22" s="8">
        <f t="shared" si="4"/>
        <v>-65</v>
      </c>
      <c r="K22" s="8">
        <f t="shared" si="4"/>
        <v>-65</v>
      </c>
      <c r="L22" s="8">
        <f t="shared" si="4"/>
        <v>-65</v>
      </c>
      <c r="M22" s="8">
        <f t="shared" si="4"/>
        <v>-65</v>
      </c>
    </row>
    <row r="23" spans="1:13" x14ac:dyDescent="0.35">
      <c r="A23" s="9" t="s">
        <v>29</v>
      </c>
      <c r="D23" s="8">
        <f>D20+D21+D22</f>
        <v>49</v>
      </c>
      <c r="E23" s="8">
        <f t="shared" ref="E23:M23" si="5">E20+E21+E22</f>
        <v>51.345400000000012</v>
      </c>
      <c r="F23" s="8">
        <f t="shared" si="5"/>
        <v>57.744396999999992</v>
      </c>
      <c r="G23" s="8">
        <f t="shared" si="5"/>
        <v>64.495338835000013</v>
      </c>
      <c r="H23" s="8">
        <f t="shared" si="5"/>
        <v>71.617582470924987</v>
      </c>
      <c r="I23" s="8">
        <f t="shared" si="5"/>
        <v>79.131549506825849</v>
      </c>
      <c r="J23" s="8">
        <f t="shared" si="5"/>
        <v>87.058784729701301</v>
      </c>
      <c r="K23" s="8">
        <f t="shared" si="5"/>
        <v>95.422017889834819</v>
      </c>
      <c r="L23" s="8">
        <f t="shared" si="5"/>
        <v>104.24522887377572</v>
      </c>
      <c r="M23" s="8">
        <f t="shared" si="5"/>
        <v>113.5537164618334</v>
      </c>
    </row>
    <row r="24" spans="1:13" x14ac:dyDescent="0.35">
      <c r="A24" t="s">
        <v>23</v>
      </c>
      <c r="D24" s="8">
        <f>-D23*25%</f>
        <v>-12.25</v>
      </c>
      <c r="E24" s="8">
        <f t="shared" ref="E24:M24" si="6">-E23*25%</f>
        <v>-12.836350000000003</v>
      </c>
      <c r="F24" s="8">
        <f t="shared" si="6"/>
        <v>-14.436099249999998</v>
      </c>
      <c r="G24" s="8">
        <f t="shared" si="6"/>
        <v>-16.123834708750003</v>
      </c>
      <c r="H24" s="8">
        <f t="shared" si="6"/>
        <v>-17.904395617731247</v>
      </c>
      <c r="I24" s="8">
        <f t="shared" si="6"/>
        <v>-19.782887376706462</v>
      </c>
      <c r="J24" s="8">
        <f t="shared" si="6"/>
        <v>-21.764696182425325</v>
      </c>
      <c r="K24" s="8">
        <f t="shared" si="6"/>
        <v>-23.855504472458705</v>
      </c>
      <c r="L24" s="8">
        <f t="shared" si="6"/>
        <v>-26.061307218443929</v>
      </c>
      <c r="M24" s="8">
        <f t="shared" si="6"/>
        <v>-28.388429115458351</v>
      </c>
    </row>
    <row r="25" spans="1:13" x14ac:dyDescent="0.35">
      <c r="A25" t="s">
        <v>24</v>
      </c>
      <c r="D25" s="8">
        <f>$B$31</f>
        <v>65</v>
      </c>
      <c r="E25" s="8">
        <f t="shared" ref="E25:M25" si="7">$B$31</f>
        <v>65</v>
      </c>
      <c r="F25" s="8">
        <f t="shared" si="7"/>
        <v>65</v>
      </c>
      <c r="G25" s="8">
        <f t="shared" si="7"/>
        <v>65</v>
      </c>
      <c r="H25" s="8">
        <f t="shared" si="7"/>
        <v>65</v>
      </c>
      <c r="I25" s="8">
        <f t="shared" si="7"/>
        <v>65</v>
      </c>
      <c r="J25" s="8">
        <f t="shared" si="7"/>
        <v>65</v>
      </c>
      <c r="K25" s="8">
        <f t="shared" si="7"/>
        <v>65</v>
      </c>
      <c r="L25" s="8">
        <f t="shared" si="7"/>
        <v>65</v>
      </c>
      <c r="M25" s="8">
        <f t="shared" si="7"/>
        <v>65</v>
      </c>
    </row>
    <row r="26" spans="1:13" x14ac:dyDescent="0.35">
      <c r="A26" s="9" t="s">
        <v>25</v>
      </c>
      <c r="D26" s="8">
        <f>D23+D24+D25</f>
        <v>101.75</v>
      </c>
      <c r="E26" s="8">
        <f t="shared" ref="E26:M26" si="8">E23+E24+E25</f>
        <v>103.50905</v>
      </c>
      <c r="F26" s="8">
        <f t="shared" si="8"/>
        <v>108.30829774999999</v>
      </c>
      <c r="G26" s="8">
        <f t="shared" si="8"/>
        <v>113.37150412625002</v>
      </c>
      <c r="H26" s="8">
        <f t="shared" si="8"/>
        <v>118.71318685319375</v>
      </c>
      <c r="I26" s="8">
        <f t="shared" si="8"/>
        <v>124.34866213011938</v>
      </c>
      <c r="J26" s="8">
        <f t="shared" si="8"/>
        <v>130.29408854727598</v>
      </c>
      <c r="K26" s="8">
        <f t="shared" si="8"/>
        <v>136.56651341737611</v>
      </c>
      <c r="L26" s="8">
        <f t="shared" si="8"/>
        <v>143.1839216553318</v>
      </c>
      <c r="M26" s="8">
        <f t="shared" si="8"/>
        <v>150.16528734637507</v>
      </c>
    </row>
    <row r="28" spans="1:13" x14ac:dyDescent="0.35">
      <c r="A28" s="3"/>
      <c r="B28" s="3"/>
    </row>
    <row r="29" spans="1:13" x14ac:dyDescent="0.35">
      <c r="A29" s="4" t="s">
        <v>26</v>
      </c>
      <c r="B29" s="16">
        <f>Assumptions!C9</f>
        <v>5.5E-2</v>
      </c>
    </row>
    <row r="30" spans="1:13" x14ac:dyDescent="0.35">
      <c r="A30" s="4" t="s">
        <v>27</v>
      </c>
      <c r="B30" s="16">
        <f>Assumptions!C10</f>
        <v>0.02</v>
      </c>
    </row>
    <row r="31" spans="1:13" x14ac:dyDescent="0.35">
      <c r="A31" t="s">
        <v>28</v>
      </c>
      <c r="B31">
        <f>Assumptions!C7/10</f>
        <v>65</v>
      </c>
    </row>
    <row r="33" spans="1:2" x14ac:dyDescent="0.35">
      <c r="A33" s="10" t="s">
        <v>30</v>
      </c>
      <c r="B33">
        <f>-680</f>
        <v>-680</v>
      </c>
    </row>
    <row r="34" spans="1:2" x14ac:dyDescent="0.35">
      <c r="B34" s="8"/>
    </row>
    <row r="35" spans="1:2" x14ac:dyDescent="0.35">
      <c r="A35" s="10" t="s">
        <v>31</v>
      </c>
    </row>
    <row r="36" spans="1:2" x14ac:dyDescent="0.35">
      <c r="A36" t="s">
        <v>32</v>
      </c>
      <c r="B36" s="8">
        <f>M26</f>
        <v>150.16528734637507</v>
      </c>
    </row>
    <row r="37" spans="1:2" x14ac:dyDescent="0.35">
      <c r="A37" t="s">
        <v>33</v>
      </c>
      <c r="B37">
        <f>Assumptions!C14*(1-0.25)</f>
        <v>67.5</v>
      </c>
    </row>
    <row r="38" spans="1:2" x14ac:dyDescent="0.35">
      <c r="A38" t="s">
        <v>34</v>
      </c>
      <c r="B38">
        <f>Assumptions!C15</f>
        <v>30</v>
      </c>
    </row>
    <row r="39" spans="1:2" x14ac:dyDescent="0.35">
      <c r="A39" t="s">
        <v>35</v>
      </c>
      <c r="B39" s="8">
        <f>B36+B37+B38</f>
        <v>247.66528734637507</v>
      </c>
    </row>
  </sheetData>
  <mergeCells count="1">
    <mergeCell ref="A1:G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3BA72-A4D7-4F7B-98DF-1935308B3736}">
  <dimension ref="A1:M39"/>
  <sheetViews>
    <sheetView topLeftCell="A10" workbookViewId="0">
      <selection activeCell="E41" sqref="E41"/>
    </sheetView>
  </sheetViews>
  <sheetFormatPr defaultRowHeight="14.5" x14ac:dyDescent="0.35"/>
  <cols>
    <col min="1" max="1" width="23.08984375" bestFit="1" customWidth="1"/>
    <col min="2" max="2" width="9.81640625" bestFit="1" customWidth="1"/>
  </cols>
  <sheetData>
    <row r="1" spans="1:13" s="1" customFormat="1" ht="14.5" customHeight="1" x14ac:dyDescent="0.35">
      <c r="A1" s="19" t="s">
        <v>5</v>
      </c>
      <c r="B1" s="19"/>
      <c r="C1" s="19"/>
      <c r="D1" s="19"/>
      <c r="E1" s="19"/>
      <c r="F1" s="19"/>
      <c r="G1" s="19"/>
      <c r="H1" s="19"/>
      <c r="I1" s="19"/>
    </row>
    <row r="2" spans="1:13" s="1" customFormat="1" x14ac:dyDescent="0.35">
      <c r="A2" s="19"/>
      <c r="B2" s="19"/>
      <c r="C2" s="19"/>
      <c r="D2" s="19"/>
      <c r="E2" s="19"/>
      <c r="F2" s="19"/>
      <c r="G2" s="19"/>
      <c r="H2" s="19"/>
      <c r="I2" s="19"/>
    </row>
    <row r="3" spans="1:13" s="1" customFormat="1" x14ac:dyDescent="0.35">
      <c r="A3" s="19"/>
      <c r="B3" s="19"/>
      <c r="C3" s="19"/>
      <c r="D3" s="19"/>
      <c r="E3" s="19"/>
      <c r="F3" s="19"/>
      <c r="G3" s="19"/>
      <c r="H3" s="19"/>
      <c r="I3" s="19"/>
    </row>
    <row r="5" spans="1:13" x14ac:dyDescent="0.35">
      <c r="A5" t="s">
        <v>15</v>
      </c>
      <c r="C5">
        <v>0</v>
      </c>
      <c r="D5">
        <v>1</v>
      </c>
      <c r="E5">
        <v>2</v>
      </c>
      <c r="F5">
        <v>3</v>
      </c>
      <c r="G5">
        <v>4</v>
      </c>
      <c r="H5">
        <v>5</v>
      </c>
      <c r="I5">
        <v>6</v>
      </c>
      <c r="J5">
        <v>7</v>
      </c>
      <c r="K5">
        <v>8</v>
      </c>
      <c r="L5">
        <v>9</v>
      </c>
      <c r="M5">
        <v>10</v>
      </c>
    </row>
    <row r="6" spans="1:13" x14ac:dyDescent="0.35">
      <c r="A6" t="s">
        <v>19</v>
      </c>
      <c r="C6">
        <f>B33</f>
        <v>-470</v>
      </c>
      <c r="D6" s="8">
        <f>D26</f>
        <v>88.199999999999989</v>
      </c>
      <c r="E6" s="8">
        <f t="shared" ref="E6:L6" si="0">E26</f>
        <v>89.87375999999999</v>
      </c>
      <c r="F6" s="8">
        <f t="shared" si="0"/>
        <v>94.726185600000008</v>
      </c>
      <c r="G6" s="8">
        <f t="shared" si="0"/>
        <v>99.869756736000028</v>
      </c>
      <c r="H6" s="8">
        <f t="shared" si="0"/>
        <v>105.32194214016002</v>
      </c>
      <c r="I6" s="8">
        <f t="shared" si="0"/>
        <v>111.10125866856966</v>
      </c>
      <c r="J6" s="8">
        <f t="shared" si="0"/>
        <v>117.22733418868384</v>
      </c>
      <c r="K6" s="8">
        <f t="shared" si="0"/>
        <v>123.72097424000488</v>
      </c>
      <c r="L6" s="8">
        <f t="shared" si="0"/>
        <v>130.60423269440517</v>
      </c>
      <c r="M6" s="8">
        <f>B39</f>
        <v>191.65048665606949</v>
      </c>
    </row>
    <row r="7" spans="1:13" x14ac:dyDescent="0.35">
      <c r="A7" t="s">
        <v>55</v>
      </c>
      <c r="D7">
        <f>1/(1+WACC!$B$23)^D5</f>
        <v>0.90258634138145832</v>
      </c>
      <c r="E7">
        <f>1/(1+WACC!$B$23)^E5</f>
        <v>0.81466210364836633</v>
      </c>
      <c r="F7">
        <f>1/(1+WACC!$B$23)^F5</f>
        <v>0.73530288759410123</v>
      </c>
      <c r="G7">
        <f>1/(1+WACC!$B$23)^G5</f>
        <v>0.66367434312078155</v>
      </c>
      <c r="H7">
        <f>1/(1+WACC!$B$23)^H5</f>
        <v>0.59902339722612874</v>
      </c>
      <c r="I7">
        <f>1/(1+WACC!$B$23)^I5</f>
        <v>0.54067033650422347</v>
      </c>
      <c r="J7">
        <f>1/(1+WACC!$B$23)^J5</f>
        <v>0.48800166091882891</v>
      </c>
      <c r="K7">
        <f>1/(1+WACC!$B$23)^K5</f>
        <v>0.44046363371680081</v>
      </c>
      <c r="L7">
        <f>1/(1+WACC!$B$23)^L5</f>
        <v>0.39755645966802999</v>
      </c>
      <c r="M7">
        <f>1/(1+WACC!$B$23)^M5</f>
        <v>0.35882903042433245</v>
      </c>
    </row>
    <row r="8" spans="1:13" x14ac:dyDescent="0.35">
      <c r="A8" t="s">
        <v>56</v>
      </c>
      <c r="C8">
        <f>C6</f>
        <v>-470</v>
      </c>
      <c r="D8" s="8">
        <f>D6*D7</f>
        <v>79.608115309844621</v>
      </c>
      <c r="E8" s="8">
        <f t="shared" ref="E8:M8" si="1">E6*E7</f>
        <v>73.216746384388387</v>
      </c>
      <c r="F8" s="8">
        <f t="shared" si="1"/>
        <v>69.65243780245477</v>
      </c>
      <c r="G8" s="8">
        <f t="shared" si="1"/>
        <v>66.280995199397069</v>
      </c>
      <c r="H8" s="8">
        <f t="shared" si="1"/>
        <v>63.090307583252425</v>
      </c>
      <c r="I8" s="8">
        <f t="shared" si="1"/>
        <v>60.06915491037833</v>
      </c>
      <c r="J8" s="8">
        <f t="shared" si="1"/>
        <v>57.207133789164331</v>
      </c>
      <c r="K8" s="8">
        <f t="shared" si="1"/>
        <v>54.494589880735255</v>
      </c>
      <c r="L8" s="8">
        <f t="shared" si="1"/>
        <v>51.922556367647296</v>
      </c>
      <c r="M8" s="8">
        <f t="shared" si="1"/>
        <v>68.769758307148876</v>
      </c>
    </row>
    <row r="10" spans="1:13" x14ac:dyDescent="0.35">
      <c r="A10" s="13" t="s">
        <v>16</v>
      </c>
      <c r="B10" s="14">
        <f>SUM(D8:M8)+C8</f>
        <v>174.31179553441132</v>
      </c>
    </row>
    <row r="12" spans="1:13" x14ac:dyDescent="0.35">
      <c r="A12" s="13" t="s">
        <v>17</v>
      </c>
      <c r="B12" s="15">
        <f>IRR(C6:M6)</f>
        <v>0.18076331760595821</v>
      </c>
    </row>
    <row r="14" spans="1:13" x14ac:dyDescent="0.35">
      <c r="A14" s="13" t="s">
        <v>18</v>
      </c>
      <c r="B14" s="17" t="s">
        <v>60</v>
      </c>
    </row>
    <row r="18" spans="1:13" ht="15" thickBot="1" x14ac:dyDescent="0.4">
      <c r="A18" s="7"/>
      <c r="B18" s="7"/>
      <c r="C18" s="7"/>
      <c r="D18" s="7"/>
      <c r="E18" s="7"/>
      <c r="F18" s="7"/>
      <c r="G18" s="7"/>
      <c r="H18" s="7"/>
      <c r="I18" s="7"/>
      <c r="J18" s="7"/>
      <c r="K18" s="7"/>
      <c r="L18" s="7"/>
      <c r="M18" s="7"/>
    </row>
    <row r="19" spans="1:13" x14ac:dyDescent="0.35">
      <c r="D19">
        <v>1</v>
      </c>
      <c r="E19">
        <v>2</v>
      </c>
      <c r="F19">
        <v>3</v>
      </c>
      <c r="G19">
        <v>4</v>
      </c>
      <c r="H19">
        <v>5</v>
      </c>
      <c r="I19">
        <v>6</v>
      </c>
      <c r="J19">
        <v>7</v>
      </c>
      <c r="K19">
        <v>8</v>
      </c>
      <c r="L19">
        <v>9</v>
      </c>
      <c r="M19">
        <v>10</v>
      </c>
    </row>
    <row r="20" spans="1:13" x14ac:dyDescent="0.35">
      <c r="A20" t="s">
        <v>20</v>
      </c>
      <c r="D20" s="8">
        <v>220</v>
      </c>
      <c r="E20" s="8">
        <f>D20*(1+$B$29)</f>
        <v>233.20000000000002</v>
      </c>
      <c r="F20" s="8">
        <f t="shared" ref="F20:M20" si="2">E20*(1+$B$29)</f>
        <v>247.19200000000004</v>
      </c>
      <c r="G20" s="8">
        <f t="shared" si="2"/>
        <v>262.02352000000008</v>
      </c>
      <c r="H20" s="8">
        <f t="shared" si="2"/>
        <v>277.74493120000011</v>
      </c>
      <c r="I20" s="8">
        <f t="shared" si="2"/>
        <v>294.40962707200015</v>
      </c>
      <c r="J20" s="8">
        <f t="shared" si="2"/>
        <v>312.07420469632018</v>
      </c>
      <c r="K20" s="8">
        <f t="shared" si="2"/>
        <v>330.79865697809942</v>
      </c>
      <c r="L20" s="8">
        <f t="shared" si="2"/>
        <v>350.64657639678541</v>
      </c>
      <c r="M20" s="8">
        <f t="shared" si="2"/>
        <v>371.68537098059255</v>
      </c>
    </row>
    <row r="21" spans="1:13" x14ac:dyDescent="0.35">
      <c r="A21" t="s">
        <v>22</v>
      </c>
      <c r="D21" s="8">
        <f>-D20*55%</f>
        <v>-121.00000000000001</v>
      </c>
      <c r="E21" s="8">
        <f>-E20*55%*(1+$B$30)</f>
        <v>-132.10780000000003</v>
      </c>
      <c r="F21" s="8">
        <f t="shared" ref="F21:M21" si="3">-F20*55%*(1+$B$30)</f>
        <v>-140.03426800000003</v>
      </c>
      <c r="G21" s="8">
        <f t="shared" si="3"/>
        <v>-148.43632408000005</v>
      </c>
      <c r="H21" s="8">
        <f t="shared" si="3"/>
        <v>-157.34250352480009</v>
      </c>
      <c r="I21" s="8">
        <f t="shared" si="3"/>
        <v>-166.78305373628808</v>
      </c>
      <c r="J21" s="8">
        <f t="shared" si="3"/>
        <v>-176.79003696046539</v>
      </c>
      <c r="K21" s="8">
        <f t="shared" si="3"/>
        <v>-187.39743917809332</v>
      </c>
      <c r="L21" s="8">
        <f t="shared" si="3"/>
        <v>-198.64128552877895</v>
      </c>
      <c r="M21" s="8">
        <f t="shared" si="3"/>
        <v>-210.5597626605057</v>
      </c>
    </row>
    <row r="22" spans="1:13" x14ac:dyDescent="0.35">
      <c r="A22" t="s">
        <v>21</v>
      </c>
      <c r="D22" s="8">
        <f>-$B$31</f>
        <v>-45</v>
      </c>
      <c r="E22" s="8">
        <f>-$B$31</f>
        <v>-45</v>
      </c>
      <c r="F22" s="8">
        <f t="shared" ref="F22:M22" si="4">-$B$31</f>
        <v>-45</v>
      </c>
      <c r="G22" s="8">
        <f t="shared" si="4"/>
        <v>-45</v>
      </c>
      <c r="H22" s="8">
        <f t="shared" si="4"/>
        <v>-45</v>
      </c>
      <c r="I22" s="8">
        <f t="shared" si="4"/>
        <v>-45</v>
      </c>
      <c r="J22" s="8">
        <f t="shared" si="4"/>
        <v>-45</v>
      </c>
      <c r="K22" s="8">
        <f t="shared" si="4"/>
        <v>-45</v>
      </c>
      <c r="L22" s="8">
        <f t="shared" si="4"/>
        <v>-45</v>
      </c>
      <c r="M22" s="8">
        <f t="shared" si="4"/>
        <v>-45</v>
      </c>
    </row>
    <row r="23" spans="1:13" x14ac:dyDescent="0.35">
      <c r="A23" s="9" t="s">
        <v>29</v>
      </c>
      <c r="D23" s="8">
        <f>D20+D21+D22</f>
        <v>53.999999999999986</v>
      </c>
      <c r="E23" s="8">
        <f t="shared" ref="E23:M23" si="5">E20+E21+E22</f>
        <v>56.092199999999991</v>
      </c>
      <c r="F23" s="8">
        <f t="shared" si="5"/>
        <v>62.15773200000001</v>
      </c>
      <c r="G23" s="8">
        <f t="shared" si="5"/>
        <v>68.587195920000028</v>
      </c>
      <c r="H23" s="8">
        <f t="shared" si="5"/>
        <v>75.402427675200016</v>
      </c>
      <c r="I23" s="8">
        <f t="shared" si="5"/>
        <v>82.626573335712067</v>
      </c>
      <c r="J23" s="8">
        <f t="shared" si="5"/>
        <v>90.284167735854794</v>
      </c>
      <c r="K23" s="8">
        <f t="shared" si="5"/>
        <v>98.401217800006094</v>
      </c>
      <c r="L23" s="8">
        <f t="shared" si="5"/>
        <v>107.00529086800645</v>
      </c>
      <c r="M23" s="8">
        <f t="shared" si="5"/>
        <v>116.12560832008685</v>
      </c>
    </row>
    <row r="24" spans="1:13" x14ac:dyDescent="0.35">
      <c r="A24" t="s">
        <v>59</v>
      </c>
      <c r="D24" s="8">
        <f>-D23*20%</f>
        <v>-10.799999999999997</v>
      </c>
      <c r="E24" s="8">
        <f>-E23*20%</f>
        <v>-11.218439999999999</v>
      </c>
      <c r="F24" s="8">
        <f t="shared" ref="F24:M24" si="6">-F23*20%</f>
        <v>-12.431546400000002</v>
      </c>
      <c r="G24" s="8">
        <f t="shared" si="6"/>
        <v>-13.717439184000007</v>
      </c>
      <c r="H24" s="8">
        <f t="shared" si="6"/>
        <v>-15.080485535040005</v>
      </c>
      <c r="I24" s="8">
        <f t="shared" si="6"/>
        <v>-16.525314667142414</v>
      </c>
      <c r="J24" s="8">
        <f t="shared" si="6"/>
        <v>-18.05683354717096</v>
      </c>
      <c r="K24" s="8">
        <f t="shared" si="6"/>
        <v>-19.68024356000122</v>
      </c>
      <c r="L24" s="8">
        <f t="shared" si="6"/>
        <v>-21.401058173601292</v>
      </c>
      <c r="M24" s="8">
        <f t="shared" si="6"/>
        <v>-23.225121664017372</v>
      </c>
    </row>
    <row r="25" spans="1:13" x14ac:dyDescent="0.35">
      <c r="A25" t="s">
        <v>24</v>
      </c>
      <c r="D25" s="8">
        <f>$B$31</f>
        <v>45</v>
      </c>
      <c r="E25" s="8">
        <f t="shared" ref="E25:M25" si="7">$B$31</f>
        <v>45</v>
      </c>
      <c r="F25" s="8">
        <f t="shared" si="7"/>
        <v>45</v>
      </c>
      <c r="G25" s="8">
        <f t="shared" si="7"/>
        <v>45</v>
      </c>
      <c r="H25" s="8">
        <f t="shared" si="7"/>
        <v>45</v>
      </c>
      <c r="I25" s="8">
        <f t="shared" si="7"/>
        <v>45</v>
      </c>
      <c r="J25" s="8">
        <f t="shared" si="7"/>
        <v>45</v>
      </c>
      <c r="K25" s="8">
        <f t="shared" si="7"/>
        <v>45</v>
      </c>
      <c r="L25" s="8">
        <f t="shared" si="7"/>
        <v>45</v>
      </c>
      <c r="M25" s="8">
        <f t="shared" si="7"/>
        <v>45</v>
      </c>
    </row>
    <row r="26" spans="1:13" x14ac:dyDescent="0.35">
      <c r="A26" s="9" t="s">
        <v>25</v>
      </c>
      <c r="D26" s="8">
        <f>D23+D24+D25</f>
        <v>88.199999999999989</v>
      </c>
      <c r="E26" s="8">
        <f t="shared" ref="E26:M26" si="8">E23+E24+E25</f>
        <v>89.87375999999999</v>
      </c>
      <c r="F26" s="8">
        <f t="shared" si="8"/>
        <v>94.726185600000008</v>
      </c>
      <c r="G26" s="8">
        <f t="shared" si="8"/>
        <v>99.869756736000028</v>
      </c>
      <c r="H26" s="8">
        <f t="shared" si="8"/>
        <v>105.32194214016002</v>
      </c>
      <c r="I26" s="8">
        <f t="shared" si="8"/>
        <v>111.10125866856966</v>
      </c>
      <c r="J26" s="8">
        <f t="shared" si="8"/>
        <v>117.22733418868384</v>
      </c>
      <c r="K26" s="8">
        <f t="shared" si="8"/>
        <v>123.72097424000488</v>
      </c>
      <c r="L26" s="8">
        <f t="shared" si="8"/>
        <v>130.60423269440517</v>
      </c>
      <c r="M26" s="8">
        <f t="shared" si="8"/>
        <v>137.90048665606949</v>
      </c>
    </row>
    <row r="28" spans="1:13" x14ac:dyDescent="0.35">
      <c r="A28" s="3"/>
      <c r="B28" s="3"/>
    </row>
    <row r="29" spans="1:13" x14ac:dyDescent="0.35">
      <c r="A29" s="4" t="s">
        <v>26</v>
      </c>
      <c r="B29" s="6">
        <f>Assumptions!D9</f>
        <v>0.06</v>
      </c>
    </row>
    <row r="30" spans="1:13" x14ac:dyDescent="0.35">
      <c r="A30" s="4" t="s">
        <v>27</v>
      </c>
      <c r="B30" s="16">
        <f>Assumptions!D10</f>
        <v>0.03</v>
      </c>
    </row>
    <row r="31" spans="1:13" x14ac:dyDescent="0.35">
      <c r="A31" t="s">
        <v>28</v>
      </c>
      <c r="B31">
        <f>Assumptions!D7/10</f>
        <v>45</v>
      </c>
    </row>
    <row r="33" spans="1:2" x14ac:dyDescent="0.35">
      <c r="A33" s="10" t="s">
        <v>30</v>
      </c>
      <c r="B33">
        <f>-470</f>
        <v>-470</v>
      </c>
    </row>
    <row r="34" spans="1:2" x14ac:dyDescent="0.35">
      <c r="B34" s="8"/>
    </row>
    <row r="35" spans="1:2" x14ac:dyDescent="0.35">
      <c r="A35" s="10" t="s">
        <v>31</v>
      </c>
    </row>
    <row r="36" spans="1:2" x14ac:dyDescent="0.35">
      <c r="A36" t="s">
        <v>32</v>
      </c>
      <c r="B36" s="8">
        <f>M26</f>
        <v>137.90048665606949</v>
      </c>
    </row>
    <row r="37" spans="1:2" x14ac:dyDescent="0.35">
      <c r="A37" t="s">
        <v>33</v>
      </c>
      <c r="B37">
        <f>Assumptions!D14*(1-0.25)</f>
        <v>33.75</v>
      </c>
    </row>
    <row r="38" spans="1:2" x14ac:dyDescent="0.35">
      <c r="A38" t="s">
        <v>34</v>
      </c>
      <c r="B38">
        <f>Assumptions!D15</f>
        <v>20</v>
      </c>
    </row>
    <row r="39" spans="1:2" x14ac:dyDescent="0.35">
      <c r="A39" t="s">
        <v>35</v>
      </c>
      <c r="B39" s="8">
        <f>B36+B37+B38</f>
        <v>191.65048665606949</v>
      </c>
    </row>
  </sheetData>
  <mergeCells count="1">
    <mergeCell ref="A1:I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74359-6D1A-4CCC-827B-033E18F540CE}">
  <dimension ref="A1:H3"/>
  <sheetViews>
    <sheetView zoomScale="90" zoomScaleNormal="90" workbookViewId="0">
      <selection activeCell="R10" sqref="R10"/>
    </sheetView>
  </sheetViews>
  <sheetFormatPr defaultRowHeight="14.5" x14ac:dyDescent="0.35"/>
  <sheetData>
    <row r="1" spans="1:8" s="1" customFormat="1" x14ac:dyDescent="0.35">
      <c r="A1" s="19" t="s">
        <v>61</v>
      </c>
      <c r="B1" s="27"/>
      <c r="C1" s="27"/>
      <c r="D1" s="27"/>
      <c r="E1" s="27"/>
      <c r="F1" s="27"/>
      <c r="G1" s="27"/>
      <c r="H1" s="27"/>
    </row>
    <row r="2" spans="1:8" s="1" customFormat="1" x14ac:dyDescent="0.35">
      <c r="A2" s="27"/>
      <c r="B2" s="27"/>
      <c r="C2" s="27"/>
      <c r="D2" s="27"/>
      <c r="E2" s="27"/>
      <c r="F2" s="27"/>
      <c r="G2" s="27"/>
      <c r="H2" s="27"/>
    </row>
    <row r="3" spans="1:8" s="1" customFormat="1" x14ac:dyDescent="0.35">
      <c r="A3" s="27"/>
      <c r="B3" s="27"/>
      <c r="C3" s="27"/>
      <c r="D3" s="27"/>
      <c r="E3" s="27"/>
      <c r="F3" s="27"/>
      <c r="G3" s="27"/>
      <c r="H3" s="27"/>
    </row>
  </sheetData>
  <mergeCells count="1">
    <mergeCell ref="A1:H3"/>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8FC96-DB44-4F7B-B01B-F7BE8CE89113}">
  <dimension ref="A1:J3"/>
  <sheetViews>
    <sheetView workbookViewId="0">
      <selection activeCell="G26" sqref="G26"/>
    </sheetView>
  </sheetViews>
  <sheetFormatPr defaultRowHeight="14.5" x14ac:dyDescent="0.35"/>
  <sheetData>
    <row r="1" spans="1:10" s="2" customFormat="1" x14ac:dyDescent="0.35">
      <c r="A1" s="19" t="s">
        <v>62</v>
      </c>
      <c r="B1" s="20"/>
      <c r="C1" s="20"/>
      <c r="D1" s="20"/>
      <c r="E1" s="20"/>
      <c r="F1" s="20"/>
      <c r="G1" s="20"/>
      <c r="H1" s="20"/>
      <c r="I1" s="20"/>
      <c r="J1" s="20"/>
    </row>
    <row r="2" spans="1:10" s="2" customFormat="1" x14ac:dyDescent="0.35">
      <c r="A2" s="20"/>
      <c r="B2" s="20"/>
      <c r="C2" s="20"/>
      <c r="D2" s="20"/>
      <c r="E2" s="20"/>
      <c r="F2" s="20"/>
      <c r="G2" s="20"/>
      <c r="H2" s="20"/>
      <c r="I2" s="20"/>
      <c r="J2" s="20"/>
    </row>
    <row r="3" spans="1:10" s="2" customFormat="1" x14ac:dyDescent="0.35">
      <c r="A3" s="20"/>
      <c r="B3" s="20"/>
      <c r="C3" s="20"/>
      <c r="D3" s="20"/>
      <c r="E3" s="20"/>
      <c r="F3" s="20"/>
      <c r="G3" s="20"/>
      <c r="H3" s="20"/>
      <c r="I3" s="20"/>
      <c r="J3" s="20"/>
    </row>
  </sheetData>
  <mergeCells count="1">
    <mergeCell ref="A1:J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Introduction</vt:lpstr>
      <vt:lpstr>Assumptions</vt:lpstr>
      <vt:lpstr>WACC</vt:lpstr>
      <vt:lpstr>India</vt:lpstr>
      <vt:lpstr>China</vt:lpstr>
      <vt:lpstr>Vietnam</vt:lpstr>
      <vt:lpstr>Qualitative Considerations</vt:lpstr>
      <vt:lpstr>Conclusion</vt:lpstr>
      <vt:lpstr>tgr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Anmol Arjun Panwar</dc:creator>
  <cp:lastModifiedBy>Anmol Arjun Panwar</cp:lastModifiedBy>
  <dcterms:created xsi:type="dcterms:W3CDTF">2026-06-17T10:43:21Z</dcterms:created>
  <dcterms:modified xsi:type="dcterms:W3CDTF">2026-06-18T15:58:32Z</dcterms:modified>
</cp:coreProperties>
</file>